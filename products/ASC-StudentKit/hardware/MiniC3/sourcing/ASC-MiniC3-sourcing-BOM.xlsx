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- 2 kits" sheetId="1" state="visible" r:id="rId1"/>
    <sheet xmlns:r="http://schemas.openxmlformats.org/officeDocument/2006/relationships" name="Production - 80 k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1155CC"/>
      <u val="single"/>
    </font>
    <font>
      <b val="1"/>
    </font>
    <font>
      <b val="1"/>
      <sz val="12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E5B3E"/>
      </patternFill>
    </fill>
    <fill>
      <patternFill patternType="solid">
        <fgColor rgb="00FB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hypcb.com/pcb-price-calculator/R0VSQkVSU1RPUkUtMzU2OA==" TargetMode="External" Id="rId1"/><Relationship Type="http://schemas.openxmlformats.org/officeDocument/2006/relationships/hyperlink" Target="https://www.lcsc.com/product-detail/C49375271.html" TargetMode="External" Id="rId2"/><Relationship Type="http://schemas.openxmlformats.org/officeDocument/2006/relationships/hyperlink" Target="https://www.lcsc.com/product-detail/C2757850.html" TargetMode="External" Id="rId3"/><Relationship Type="http://schemas.openxmlformats.org/officeDocument/2006/relationships/hyperlink" Target="https://www.lcsc.com/product-detail/C8598.html" TargetMode="External" Id="rId4"/><Relationship Type="http://schemas.openxmlformats.org/officeDocument/2006/relationships/hyperlink" Target="https://www.lcsc.com/product-detail/C7512.html" TargetMode="External" Id="rId5"/><Relationship Type="http://schemas.openxmlformats.org/officeDocument/2006/relationships/hyperlink" Target="https://www.lcsc.com/product-detail/C30584802.html" TargetMode="External" Id="rId6"/><Relationship Type="http://schemas.openxmlformats.org/officeDocument/2006/relationships/hyperlink" Target="https://www.lcsc.com/product-detail/C37635751.html" TargetMode="External" Id="rId7"/><Relationship Type="http://schemas.openxmlformats.org/officeDocument/2006/relationships/hyperlink" Target="https://www.lcsc.com/product-detail/C28310441.html" TargetMode="External" Id="rId8"/><Relationship Type="http://schemas.openxmlformats.org/officeDocument/2006/relationships/hyperlink" Target="https://www.lcsc.com/product-detail/C17513.html" TargetMode="External" Id="rId9"/><Relationship Type="http://schemas.openxmlformats.org/officeDocument/2006/relationships/hyperlink" Target="https://www.lcsc.com/product-detail/C17710.html" TargetMode="External" Id="rId10"/><Relationship Type="http://schemas.openxmlformats.org/officeDocument/2006/relationships/hyperlink" Target="https://www.lcsc.com/product-detail/C17414.html" TargetMode="External" Id="rId11"/><Relationship Type="http://schemas.openxmlformats.org/officeDocument/2006/relationships/hyperlink" Target="https://www.lcsc.com/product-detail/C17673.html" TargetMode="External" Id="rId12"/><Relationship Type="http://schemas.openxmlformats.org/officeDocument/2006/relationships/hyperlink" Target="https://www.lcsc.com/product-detail/C49678.html" TargetMode="External" Id="rId13"/><Relationship Type="http://schemas.openxmlformats.org/officeDocument/2006/relationships/hyperlink" Target="https://www.lcsc.com/product-detail/C15850.html" TargetMode="External" Id="rId14"/><Relationship Type="http://schemas.openxmlformats.org/officeDocument/2006/relationships/hyperlink" Target="https://jlcpcb.com/smt-assembly" TargetMode="External" Id="rId15"/><Relationship Type="http://schemas.openxmlformats.org/officeDocument/2006/relationships/hyperlink" Target="https://robosap.in/product/esp32-c3-super-mini-usb-c-type-development-board/" TargetMode="External" Id="rId16"/><Relationship Type="http://schemas.openxmlformats.org/officeDocument/2006/relationships/hyperlink" Target="https://sharvielectronics.com/product/8x1-8pin-female-berg-strip-break-away-header-straight-2-54mm-pitch/" TargetMode="External" Id="rId17"/><Relationship Type="http://schemas.openxmlformats.org/officeDocument/2006/relationships/hyperlink" Target="https://techiesms.com/product/hf46f-5v-pcb-sealed-relaypack-of-5/" TargetMode="External" Id="rId18"/><Relationship Type="http://schemas.openxmlformats.org/officeDocument/2006/relationships/hyperlink" Target="https://rajivelectronics.com/product/cr2032-3v-lithium-battery-vertical-3-pin-pc-mount-battery" TargetMode="External" Id="rId19"/><Relationship Type="http://schemas.openxmlformats.org/officeDocument/2006/relationships/hyperlink" Target="https://rajivelectronics.com/product/cr2032-3v-pcb-mount-vertical-battery-holder" TargetMode="External" Id="rId20"/><Relationship Type="http://schemas.openxmlformats.org/officeDocument/2006/relationships/hyperlink" Target="https://store.magnoteknik.com/product/mtcr2632r768k/" TargetMode="External" Id="rId21"/><Relationship Type="http://schemas.openxmlformats.org/officeDocument/2006/relationships/hyperlink" Target="https://www.electronicscomp.com/kf301-2-pin-5.08mm-pitch-plug-in-screw-terminal-block-connector" TargetMode="External" Id="rId22"/><Relationship Type="http://schemas.openxmlformats.org/officeDocument/2006/relationships/hyperlink" Target="https://www.dnatechindia.com/3-pin-2-50mm-jst-xh-straight-male-connector-buy-in-india.html" TargetMode="External" Id="rId23"/><Relationship Type="http://schemas.openxmlformats.org/officeDocument/2006/relationships/hyperlink" Target="https://amelectronics.in/product/water-flow-sensor-yf-s401-flowmeter-0-3-6l-min-3-5mm-white/" TargetMode="External" Id="rId24"/><Relationship Type="http://schemas.openxmlformats.org/officeDocument/2006/relationships/hyperlink" Target="https://quartzcomponents.com/products/3v-to-12v-mini-dc-submersible-pump" TargetMode="External" Id="rId25"/><Relationship Type="http://schemas.openxmlformats.org/officeDocument/2006/relationships/hyperlink" Target="https://www.reicabinets.com/product?cid=16&amp;pid=479&amp;prodn=IP-65-26%20(TR%20Top)" TargetMode="External" Id="rId26"/><Relationship Type="http://schemas.openxmlformats.org/officeDocument/2006/relationships/hyperlink" Target="https://probots.co.in/5mm-nylon-reverse-mount-pcb-standoff-spacer.html" TargetMode="External" Id="rId27"/><Relationship Type="http://schemas.openxmlformats.org/officeDocument/2006/relationships/hyperlink" Target="https://electroheight.com/PG7-cable-gland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hypcb.com/pcb-price-calculator/R0VSQkVSU1RPUkUtMzU2OA==" TargetMode="External" Id="rId1"/><Relationship Type="http://schemas.openxmlformats.org/officeDocument/2006/relationships/hyperlink" Target="https://www.lcsc.com/product-detail/C49375271.html" TargetMode="External" Id="rId2"/><Relationship Type="http://schemas.openxmlformats.org/officeDocument/2006/relationships/hyperlink" Target="https://www.lcsc.com/product-detail/C2757850.html" TargetMode="External" Id="rId3"/><Relationship Type="http://schemas.openxmlformats.org/officeDocument/2006/relationships/hyperlink" Target="https://www.lcsc.com/product-detail/C8598.html" TargetMode="External" Id="rId4"/><Relationship Type="http://schemas.openxmlformats.org/officeDocument/2006/relationships/hyperlink" Target="https://www.lcsc.com/product-detail/C7512.html" TargetMode="External" Id="rId5"/><Relationship Type="http://schemas.openxmlformats.org/officeDocument/2006/relationships/hyperlink" Target="https://www.lcsc.com/product-detail/C30584802.html" TargetMode="External" Id="rId6"/><Relationship Type="http://schemas.openxmlformats.org/officeDocument/2006/relationships/hyperlink" Target="https://www.lcsc.com/product-detail/C37635751.html" TargetMode="External" Id="rId7"/><Relationship Type="http://schemas.openxmlformats.org/officeDocument/2006/relationships/hyperlink" Target="https://www.lcsc.com/product-detail/C28310441.html" TargetMode="External" Id="rId8"/><Relationship Type="http://schemas.openxmlformats.org/officeDocument/2006/relationships/hyperlink" Target="https://www.lcsc.com/product-detail/C17513.html" TargetMode="External" Id="rId9"/><Relationship Type="http://schemas.openxmlformats.org/officeDocument/2006/relationships/hyperlink" Target="https://www.lcsc.com/product-detail/C17710.html" TargetMode="External" Id="rId10"/><Relationship Type="http://schemas.openxmlformats.org/officeDocument/2006/relationships/hyperlink" Target="https://www.lcsc.com/product-detail/C17414.html" TargetMode="External" Id="rId11"/><Relationship Type="http://schemas.openxmlformats.org/officeDocument/2006/relationships/hyperlink" Target="https://www.lcsc.com/product-detail/C17673.html" TargetMode="External" Id="rId12"/><Relationship Type="http://schemas.openxmlformats.org/officeDocument/2006/relationships/hyperlink" Target="https://www.lcsc.com/product-detail/C49678.html" TargetMode="External" Id="rId13"/><Relationship Type="http://schemas.openxmlformats.org/officeDocument/2006/relationships/hyperlink" Target="https://www.lcsc.com/product-detail/C15850.html" TargetMode="External" Id="rId14"/><Relationship Type="http://schemas.openxmlformats.org/officeDocument/2006/relationships/hyperlink" Target="https://jlcpcb.com/smt-assembly" TargetMode="External" Id="rId15"/><Relationship Type="http://schemas.openxmlformats.org/officeDocument/2006/relationships/hyperlink" Target="https://robosap.in/product/esp32-c3-super-mini-usb-c-type-development-board/" TargetMode="External" Id="rId16"/><Relationship Type="http://schemas.openxmlformats.org/officeDocument/2006/relationships/hyperlink" Target="https://sharvielectronics.com/product/8x1-8pin-female-berg-strip-break-away-header-straight-2-54mm-pitch/" TargetMode="External" Id="rId17"/><Relationship Type="http://schemas.openxmlformats.org/officeDocument/2006/relationships/hyperlink" Target="https://techiesms.com/product/hf46f-5v-pcb-sealed-relaypack-of-5/" TargetMode="External" Id="rId18"/><Relationship Type="http://schemas.openxmlformats.org/officeDocument/2006/relationships/hyperlink" Target="https://rajivelectronics.com/product/cr2032-3v-lithium-battery-vertical-3-pin-pc-mount-battery" TargetMode="External" Id="rId19"/><Relationship Type="http://schemas.openxmlformats.org/officeDocument/2006/relationships/hyperlink" Target="https://rajivelectronics.com/product/cr2032-3v-pcb-mount-vertical-battery-holder" TargetMode="External" Id="rId20"/><Relationship Type="http://schemas.openxmlformats.org/officeDocument/2006/relationships/hyperlink" Target="https://store.magnoteknik.com/product/mtcr2632r768k/" TargetMode="External" Id="rId21"/><Relationship Type="http://schemas.openxmlformats.org/officeDocument/2006/relationships/hyperlink" Target="https://www.electronicscomp.com/kf301-2-pin-5.08mm-pitch-plug-in-screw-terminal-block-connector" TargetMode="External" Id="rId22"/><Relationship Type="http://schemas.openxmlformats.org/officeDocument/2006/relationships/hyperlink" Target="https://www.dnatechindia.com/3-pin-2-50mm-jst-xh-straight-male-connector-buy-in-india.html" TargetMode="External" Id="rId23"/><Relationship Type="http://schemas.openxmlformats.org/officeDocument/2006/relationships/hyperlink" Target="https://amelectronics.in/product/water-flow-sensor-yf-s401-flowmeter-0-3-6l-min-3-5mm-white/" TargetMode="External" Id="rId24"/><Relationship Type="http://schemas.openxmlformats.org/officeDocument/2006/relationships/hyperlink" Target="https://quartzcomponents.com/products/3v-to-12v-mini-dc-submersible-pump" TargetMode="External" Id="rId25"/><Relationship Type="http://schemas.openxmlformats.org/officeDocument/2006/relationships/hyperlink" Target="https://www.reicabinets.com/product?cid=16&amp;pid=479&amp;prodn=IP-65-26%20(TR%20Top)" TargetMode="External" Id="rId26"/><Relationship Type="http://schemas.openxmlformats.org/officeDocument/2006/relationships/hyperlink" Target="https://probots.co.in/5mm-nylon-reverse-mount-pcb-standoff-spacer.html" TargetMode="External" Id="rId27"/><Relationship Type="http://schemas.openxmlformats.org/officeDocument/2006/relationships/hyperlink" Target="https://electroheight.com/PG7-cable-gland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36" customWidth="1" min="3" max="3"/>
    <col width="32" customWidth="1" min="4" max="4"/>
    <col width="11" customWidth="1" min="5" max="5"/>
    <col width="9" customWidth="1" min="6" max="6"/>
    <col width="9" customWidth="1" min="7" max="7"/>
    <col width="22" customWidth="1" min="8" max="8"/>
    <col width="46" customWidth="1" min="9" max="9"/>
    <col width="9" customWidth="1" min="10" max="10"/>
    <col width="9" customWidth="1" min="11" max="11"/>
    <col width="9" customWidth="1" min="12" max="12"/>
    <col width="46" customWidth="1" min="13" max="13"/>
  </cols>
  <sheetData>
    <row r="1">
      <c r="A1" s="1" t="inlineStr">
        <is>
          <t>ASC Mini-C3: sample order for 2 test kits (prices checked 2026-10-10, LCSC at USD 1 = Rs 88)</t>
        </is>
      </c>
    </row>
    <row r="2">
      <c r="A2" t="inlineStr">
        <is>
          <t>PCBs are already ordered (5 panels = 20 Minis + 20 sticks). Order qty follows each supplier's minimum or pack size, so the cost is higher than 2 x the per-kit cost. 'estimate' = confirm with the supplier.</t>
        </is>
      </c>
    </row>
    <row r="3">
      <c r="A3" t="inlineStr">
        <is>
          <t>LCSC: one combined order; expect about Rs 1,800-2,500 shipping + duty to India for a small parcel. Alternative for 2 kits: buy the 0805 resistors / capacitors / LEDs locally and only the DS1307 + AHT20 from LCSC.</t>
        </is>
      </c>
    </row>
    <row r="5">
      <c r="A5" s="2" t="inlineStr">
        <is>
          <t>#</t>
        </is>
      </c>
      <c r="B5" s="2" t="inlineStr">
        <is>
          <t>Group</t>
        </is>
      </c>
      <c r="C5" s="2" t="inlineStr">
        <is>
          <t>Item</t>
        </is>
      </c>
      <c r="D5" s="2" t="inlineStr">
        <is>
          <t>Part / spec</t>
        </is>
      </c>
      <c r="E5" s="2" t="inlineStr">
        <is>
          <t>Ref</t>
        </is>
      </c>
      <c r="F5" s="2" t="inlineStr">
        <is>
          <t>Need for 2 kits</t>
        </is>
      </c>
      <c r="G5" s="2" t="inlineStr">
        <is>
          <t>Order qty</t>
        </is>
      </c>
      <c r="H5" s="2" t="inlineStr">
        <is>
          <t>Supplier</t>
        </is>
      </c>
      <c r="I5" s="2" t="inlineStr">
        <is>
          <t>Link</t>
        </is>
      </c>
      <c r="J5" s="2" t="inlineStr">
        <is>
          <t>Unit Rs</t>
        </is>
      </c>
      <c r="K5" s="2" t="inlineStr">
        <is>
          <t>Line Rs</t>
        </is>
      </c>
      <c r="L5" s="2" t="inlineStr">
        <is>
          <t>Price</t>
        </is>
      </c>
      <c r="M5" s="2" t="inlineStr">
        <is>
          <t>Why this qty</t>
        </is>
      </c>
    </row>
    <row r="6">
      <c r="A6" s="3" t="n">
        <v>1</v>
      </c>
      <c r="B6" s="3" t="inlineStr">
        <is>
          <t>PCB</t>
        </is>
      </c>
      <c r="C6" s="3" t="inlineStr">
        <is>
          <t>PCB panel share: 1 Mini-C3 (+ half an AHT20 stick)</t>
        </is>
      </c>
      <c r="D6" s="3" t="inlineStr">
        <is>
          <t>98 x 98 panel = 4 Minis + 2 sticks, 2 layers, 1.6 mm, HASL; 2 mm routed slots + mouse bites (no V-cut)</t>
        </is>
      </c>
      <c r="E6" s="3" t="inlineStr">
        <is>
          <t>-</t>
        </is>
      </c>
      <c r="F6" s="3" t="n">
        <v>0.5</v>
      </c>
      <c r="G6" s="3" t="n">
        <v>5</v>
      </c>
      <c r="H6" s="3" t="inlineStr">
        <is>
          <t>WhyPCB (JLCPCB partner)</t>
        </is>
      </c>
      <c r="I6" s="4" t="inlineStr">
        <is>
          <t>https://www.whypcb.com/pcb-price-calculator/R0VSQkVSU1RPUkUtMzU2OA==</t>
        </is>
      </c>
      <c r="J6" s="3" t="n">
        <v>300</v>
      </c>
      <c r="K6" s="3">
        <f>ROUND(G6*J6,0)</f>
        <v/>
      </c>
      <c r="L6" s="3" t="inlineStr">
        <is>
          <t>quoted</t>
        </is>
      </c>
      <c r="M6" s="3" t="inlineStr">
        <is>
          <t>5 panels = 20 Minis + 10 sticks; WhyPCB Rs 1,500 total (slots + mouse bites, no V-cut)</t>
        </is>
      </c>
    </row>
    <row r="7">
      <c r="A7" s="3" t="n">
        <v>2</v>
      </c>
      <c r="B7" s="3" t="inlineStr">
        <is>
          <t>SMD (JLC assembly or LCSC)</t>
        </is>
      </c>
      <c r="C7" s="3" t="inlineStr">
        <is>
          <t>RTC DS1307 (MSKSEMI, pin compatible)</t>
        </is>
      </c>
      <c r="D7" s="3" t="inlineStr">
        <is>
          <t>DS1307Z+MSK SOIC-8, LCSC C49375271</t>
        </is>
      </c>
      <c r="E7" s="3" t="inlineStr">
        <is>
          <t>U2</t>
        </is>
      </c>
      <c r="F7" s="3" t="n">
        <v>2</v>
      </c>
      <c r="G7" s="3" t="n">
        <v>5</v>
      </c>
      <c r="H7" s="3" t="inlineStr">
        <is>
          <t>LCSC</t>
        </is>
      </c>
      <c r="I7" s="4" t="inlineStr">
        <is>
          <t>https://www.lcsc.com/product-detail/C49375271.html</t>
        </is>
      </c>
      <c r="J7" s="3" t="n">
        <v>22.4</v>
      </c>
      <c r="K7" s="3">
        <f>ROUND(G7*J7,0)</f>
        <v/>
      </c>
      <c r="L7" s="3" t="inlineStr">
        <is>
          <t>quoted</t>
        </is>
      </c>
      <c r="M7" s="3" t="inlineStr">
        <is>
          <t>LCSC minimum 5</t>
        </is>
      </c>
    </row>
    <row r="8">
      <c r="A8" s="3" t="n">
        <v>3</v>
      </c>
      <c r="B8" s="3" t="inlineStr">
        <is>
          <t>SMD (JLC assembly or LCSC)</t>
        </is>
      </c>
      <c r="C8" s="3" t="inlineStr">
        <is>
          <t>T/RH sensor AHT20 (on the stick)</t>
        </is>
      </c>
      <c r="D8" s="3" t="inlineStr">
        <is>
          <t>AHT20 DFN-6 3x3, LCSC C2757850</t>
        </is>
      </c>
      <c r="E8" s="3" t="inlineStr">
        <is>
          <t>U1 (stick)</t>
        </is>
      </c>
      <c r="F8" s="3" t="n">
        <v>2</v>
      </c>
      <c r="G8" s="3" t="n">
        <v>4</v>
      </c>
      <c r="H8" s="3" t="inlineStr">
        <is>
          <t>LCSC</t>
        </is>
      </c>
      <c r="I8" s="4" t="inlineStr">
        <is>
          <t>https://www.lcsc.com/product-detail/C2757850.html</t>
        </is>
      </c>
      <c r="J8" s="3" t="n">
        <v>67.2</v>
      </c>
      <c r="K8" s="3">
        <f>ROUND(G8*J8,0)</f>
        <v/>
      </c>
      <c r="L8" s="3" t="inlineStr">
        <is>
          <t>quoted</t>
        </is>
      </c>
      <c r="M8" s="3" t="inlineStr">
        <is>
          <t>2 + 2 spare (3 x 3 mm part, hot-air soldering)</t>
        </is>
      </c>
    </row>
    <row r="9">
      <c r="A9" s="3" t="n">
        <v>4</v>
      </c>
      <c r="B9" s="3" t="inlineStr">
        <is>
          <t>SMD (JLC assembly or LCSC)</t>
        </is>
      </c>
      <c r="C9" s="3" t="inlineStr">
        <is>
          <t>Schottky B5819W (flow level shift)</t>
        </is>
      </c>
      <c r="D9" s="3" t="inlineStr">
        <is>
          <t>SOD-123, LCSC C8598 (basic)</t>
        </is>
      </c>
      <c r="E9" s="3" t="inlineStr">
        <is>
          <t>D2</t>
        </is>
      </c>
      <c r="F9" s="3" t="n">
        <v>2</v>
      </c>
      <c r="G9" s="3" t="n">
        <v>20</v>
      </c>
      <c r="H9" s="3" t="inlineStr">
        <is>
          <t>LCSC</t>
        </is>
      </c>
      <c r="I9" s="4" t="inlineStr">
        <is>
          <t>https://www.lcsc.com/product-detail/C8598.html</t>
        </is>
      </c>
      <c r="J9" s="3" t="n">
        <v>2.5</v>
      </c>
      <c r="K9" s="3">
        <f>ROUND(G9*J9,0)</f>
        <v/>
      </c>
      <c r="L9" s="3" t="inlineStr">
        <is>
          <t>quoted</t>
        </is>
      </c>
      <c r="M9" s="3" t="inlineStr">
        <is>
          <t>LCSC minimum 20</t>
        </is>
      </c>
    </row>
    <row r="10">
      <c r="A10" s="3" t="n">
        <v>5</v>
      </c>
      <c r="B10" s="3" t="inlineStr">
        <is>
          <t>SMD (JLC assembly or LCSC)</t>
        </is>
      </c>
      <c r="C10" s="3" t="inlineStr">
        <is>
          <t>Driver ULN2003A (pump on ch 1+2, relay on ch 3)</t>
        </is>
      </c>
      <c r="D10" s="3" t="inlineStr">
        <is>
          <t>SOIC-16, TI ULN2003ADR, LCSC C7512</t>
        </is>
      </c>
      <c r="E10" s="3" t="inlineStr">
        <is>
          <t>U3</t>
        </is>
      </c>
      <c r="F10" s="3" t="n">
        <v>2</v>
      </c>
      <c r="G10" s="3" t="n">
        <v>5</v>
      </c>
      <c r="H10" s="3" t="inlineStr">
        <is>
          <t>LCSC</t>
        </is>
      </c>
      <c r="I10" s="4" t="inlineStr">
        <is>
          <t>https://www.lcsc.com/product-detail/C7512.html</t>
        </is>
      </c>
      <c r="J10" s="3" t="n">
        <v>13.6</v>
      </c>
      <c r="K10" s="3">
        <f>ROUND(G10*J10,0)</f>
        <v/>
      </c>
      <c r="L10" s="3" t="inlineStr">
        <is>
          <t>quoted</t>
        </is>
      </c>
      <c r="M10" s="3" t="inlineStr">
        <is>
          <t>LCSC minimum 5</t>
        </is>
      </c>
    </row>
    <row r="11">
      <c r="A11" s="3" t="n">
        <v>6</v>
      </c>
      <c r="B11" s="3" t="inlineStr">
        <is>
          <t>SMD (JLC assembly or LCSC)</t>
        </is>
      </c>
      <c r="C11" s="3" t="inlineStr">
        <is>
          <t>LED 1206 yellow (PUMP, RELAY)</t>
        </is>
      </c>
      <c r="D11" s="3" t="inlineStr">
        <is>
          <t>YONGYUTAI YLED1206Y, LCSC C30584802</t>
        </is>
      </c>
      <c r="E11" s="3" t="inlineStr">
        <is>
          <t>D3, D7</t>
        </is>
      </c>
      <c r="F11" s="3" t="n">
        <v>4</v>
      </c>
      <c r="G11" s="3" t="n">
        <v>50</v>
      </c>
      <c r="H11" s="3" t="inlineStr">
        <is>
          <t>LCSC</t>
        </is>
      </c>
      <c r="I11" s="4" t="inlineStr">
        <is>
          <t>https://www.lcsc.com/product-detail/C30584802.html</t>
        </is>
      </c>
      <c r="J11" s="3" t="n">
        <v>1.42</v>
      </c>
      <c r="K11" s="3">
        <f>ROUND(G11*J11,0)</f>
        <v/>
      </c>
      <c r="L11" s="3" t="inlineStr">
        <is>
          <t>quoted</t>
        </is>
      </c>
      <c r="M11" s="3" t="inlineStr">
        <is>
          <t>LCSC minimum 50</t>
        </is>
      </c>
    </row>
    <row r="12">
      <c r="A12" s="3" t="n">
        <v>7</v>
      </c>
      <c r="B12" s="3" t="inlineStr">
        <is>
          <t>SMD (JLC assembly or LCSC)</t>
        </is>
      </c>
      <c r="C12" s="3" t="inlineStr">
        <is>
          <t>LED 1206 red (STATUS)</t>
        </is>
      </c>
      <c r="D12" s="3" t="inlineStr">
        <is>
          <t>YLED1206RFT, LCSC C37635751</t>
        </is>
      </c>
      <c r="E12" s="3" t="inlineStr">
        <is>
          <t>D5</t>
        </is>
      </c>
      <c r="F12" s="3" t="n">
        <v>2</v>
      </c>
      <c r="G12" s="3" t="n">
        <v>50</v>
      </c>
      <c r="H12" s="3" t="inlineStr">
        <is>
          <t>LCSC</t>
        </is>
      </c>
      <c r="I12" s="4" t="inlineStr">
        <is>
          <t>https://www.lcsc.com/product-detail/C37635751.html</t>
        </is>
      </c>
      <c r="J12" s="3" t="n">
        <v>1.77</v>
      </c>
      <c r="K12" s="3">
        <f>ROUND(G12*J12,0)</f>
        <v/>
      </c>
      <c r="L12" s="3" t="inlineStr">
        <is>
          <t>quoted</t>
        </is>
      </c>
      <c r="M12" s="3" t="inlineStr">
        <is>
          <t>LCSC minimum 50</t>
        </is>
      </c>
    </row>
    <row r="13">
      <c r="A13" s="3" t="n">
        <v>8</v>
      </c>
      <c r="B13" s="3" t="inlineStr">
        <is>
          <t>SMD (JLC assembly or LCSC)</t>
        </is>
      </c>
      <c r="C13" s="3" t="inlineStr">
        <is>
          <t>LED 1206 yellow-green (FLOW)</t>
        </is>
      </c>
      <c r="D13" s="3" t="inlineStr">
        <is>
          <t>YLED1206YG 576 nm, LCSC C28310441</t>
        </is>
      </c>
      <c r="E13" s="3" t="inlineStr">
        <is>
          <t>D4</t>
        </is>
      </c>
      <c r="F13" s="3" t="n">
        <v>2</v>
      </c>
      <c r="G13" s="3" t="n">
        <v>50</v>
      </c>
      <c r="H13" s="3" t="inlineStr">
        <is>
          <t>LCSC</t>
        </is>
      </c>
      <c r="I13" s="4" t="inlineStr">
        <is>
          <t>https://www.lcsc.com/product-detail/C28310441.html</t>
        </is>
      </c>
      <c r="J13" s="3" t="n">
        <v>1.42</v>
      </c>
      <c r="K13" s="3">
        <f>ROUND(G13*J13,0)</f>
        <v/>
      </c>
      <c r="L13" s="3" t="inlineStr">
        <is>
          <t>quoted</t>
        </is>
      </c>
      <c r="M13" s="3" t="inlineStr">
        <is>
          <t>LCSC minimum 50</t>
        </is>
      </c>
    </row>
    <row r="14">
      <c r="A14" s="3" t="n">
        <v>9</v>
      </c>
      <c r="B14" s="3" t="inlineStr">
        <is>
          <t>SMD (JLC assembly or LCSC)</t>
        </is>
      </c>
      <c r="C14" s="3" t="inlineStr">
        <is>
          <t>Resistor 0805 1k</t>
        </is>
      </c>
      <c r="D14" s="3" t="inlineStr">
        <is>
          <t>LCSC C17513</t>
        </is>
      </c>
      <c r="E14" s="3" t="inlineStr">
        <is>
          <t>R3, R4, R12</t>
        </is>
      </c>
      <c r="F14" s="3" t="n">
        <v>6</v>
      </c>
      <c r="G14" s="3" t="n">
        <v>100</v>
      </c>
      <c r="H14" s="3" t="inlineStr">
        <is>
          <t>LCSC</t>
        </is>
      </c>
      <c r="I14" s="4" t="inlineStr">
        <is>
          <t>https://www.lcsc.com/product-detail/C17513.html</t>
        </is>
      </c>
      <c r="J14" s="3" t="n">
        <v>0.31</v>
      </c>
      <c r="K14" s="3">
        <f>ROUND(G14*J14,0)</f>
        <v/>
      </c>
      <c r="L14" s="3" t="inlineStr">
        <is>
          <t>quoted</t>
        </is>
      </c>
      <c r="M14" s="3" t="inlineStr">
        <is>
          <t>LCSC minimum 100</t>
        </is>
      </c>
    </row>
    <row r="15">
      <c r="A15" s="3" t="n">
        <v>10</v>
      </c>
      <c r="B15" s="3" t="inlineStr">
        <is>
          <t>SMD (JLC assembly or LCSC)</t>
        </is>
      </c>
      <c r="C15" s="3" t="inlineStr">
        <is>
          <t>Resistor 0805 470R</t>
        </is>
      </c>
      <c r="D15" s="3" t="inlineStr">
        <is>
          <t>LCSC C17710</t>
        </is>
      </c>
      <c r="E15" s="3" t="inlineStr">
        <is>
          <t>R5</t>
        </is>
      </c>
      <c r="F15" s="3" t="n">
        <v>2</v>
      </c>
      <c r="G15" s="3" t="n">
        <v>100</v>
      </c>
      <c r="H15" s="3" t="inlineStr">
        <is>
          <t>LCSC</t>
        </is>
      </c>
      <c r="I15" s="4" t="inlineStr">
        <is>
          <t>https://www.lcsc.com/product-detail/C17710.html</t>
        </is>
      </c>
      <c r="J15" s="3" t="n">
        <v>0.43</v>
      </c>
      <c r="K15" s="3">
        <f>ROUND(G15*J15,0)</f>
        <v/>
      </c>
      <c r="L15" s="3" t="inlineStr">
        <is>
          <t>quoted</t>
        </is>
      </c>
      <c r="M15" s="3" t="inlineStr">
        <is>
          <t>LCSC minimum 100</t>
        </is>
      </c>
    </row>
    <row r="16">
      <c r="A16" s="3" t="n">
        <v>11</v>
      </c>
      <c r="B16" s="3" t="inlineStr">
        <is>
          <t>SMD (JLC assembly or LCSC)</t>
        </is>
      </c>
      <c r="C16" s="3" t="inlineStr">
        <is>
          <t>Resistor 0805 10k</t>
        </is>
      </c>
      <c r="D16" s="3" t="inlineStr">
        <is>
          <t>LCSC C17414</t>
        </is>
      </c>
      <c r="E16" s="3" t="inlineStr">
        <is>
          <t>R6, R7</t>
        </is>
      </c>
      <c r="F16" s="3" t="n">
        <v>4</v>
      </c>
      <c r="G16" s="3" t="n">
        <v>100</v>
      </c>
      <c r="H16" s="3" t="inlineStr">
        <is>
          <t>LCSC</t>
        </is>
      </c>
      <c r="I16" s="4" t="inlineStr">
        <is>
          <t>https://www.lcsc.com/product-detail/C17414.html</t>
        </is>
      </c>
      <c r="J16" s="3" t="n">
        <v>0.3</v>
      </c>
      <c r="K16" s="3">
        <f>ROUND(G16*J16,0)</f>
        <v/>
      </c>
      <c r="L16" s="3" t="inlineStr">
        <is>
          <t>quoted</t>
        </is>
      </c>
      <c r="M16" s="3" t="inlineStr">
        <is>
          <t>LCSC minimum 100</t>
        </is>
      </c>
    </row>
    <row r="17">
      <c r="A17" s="3" t="n">
        <v>12</v>
      </c>
      <c r="B17" s="3" t="inlineStr">
        <is>
          <t>SMD (JLC assembly or LCSC)</t>
        </is>
      </c>
      <c r="C17" s="3" t="inlineStr">
        <is>
          <t>Resistor 0805 4.7k</t>
        </is>
      </c>
      <c r="D17" s="3" t="inlineStr">
        <is>
          <t>LCSC C17673</t>
        </is>
      </c>
      <c r="E17" s="3" t="inlineStr">
        <is>
          <t>R8, R9</t>
        </is>
      </c>
      <c r="F17" s="3" t="n">
        <v>4</v>
      </c>
      <c r="G17" s="3" t="n">
        <v>100</v>
      </c>
      <c r="H17" s="3" t="inlineStr">
        <is>
          <t>LCSC</t>
        </is>
      </c>
      <c r="I17" s="4" t="inlineStr">
        <is>
          <t>https://www.lcsc.com/product-detail/C17673.html</t>
        </is>
      </c>
      <c r="J17" s="3" t="n">
        <v>0.45</v>
      </c>
      <c r="K17" s="3">
        <f>ROUND(G17*J17,0)</f>
        <v/>
      </c>
      <c r="L17" s="3" t="inlineStr">
        <is>
          <t>quoted</t>
        </is>
      </c>
      <c r="M17" s="3" t="inlineStr">
        <is>
          <t>LCSC minimum 100</t>
        </is>
      </c>
    </row>
    <row r="18">
      <c r="A18" s="3" t="n">
        <v>13</v>
      </c>
      <c r="B18" s="3" t="inlineStr">
        <is>
          <t>SMD (JLC assembly or LCSC)</t>
        </is>
      </c>
      <c r="C18" s="3" t="inlineStr">
        <is>
          <t>Capacitor 0805 100nF 50V</t>
        </is>
      </c>
      <c r="D18" s="3" t="inlineStr">
        <is>
          <t>LCSC C49678</t>
        </is>
      </c>
      <c r="E18" s="3" t="inlineStr">
        <is>
          <t>C2</t>
        </is>
      </c>
      <c r="F18" s="3" t="n">
        <v>2</v>
      </c>
      <c r="G18" s="3" t="n">
        <v>20</v>
      </c>
      <c r="H18" s="3" t="inlineStr">
        <is>
          <t>LCSC</t>
        </is>
      </c>
      <c r="I18" s="4" t="inlineStr">
        <is>
          <t>https://www.lcsc.com/product-detail/C49678.html</t>
        </is>
      </c>
      <c r="J18" s="3" t="n">
        <v>1.68</v>
      </c>
      <c r="K18" s="3">
        <f>ROUND(G18*J18,0)</f>
        <v/>
      </c>
      <c r="L18" s="3" t="inlineStr">
        <is>
          <t>quoted</t>
        </is>
      </c>
      <c r="M18" s="3" t="inlineStr">
        <is>
          <t>LCSC minimum 20</t>
        </is>
      </c>
    </row>
    <row r="19">
      <c r="A19" s="3" t="n">
        <v>14</v>
      </c>
      <c r="B19" s="3" t="inlineStr">
        <is>
          <t>SMD (JLC assembly or LCSC)</t>
        </is>
      </c>
      <c r="C19" s="3" t="inlineStr">
        <is>
          <t>Capacitor 0805 10uF 25V (on the stick)</t>
        </is>
      </c>
      <c r="D19" s="3" t="inlineStr">
        <is>
          <t>LCSC C15850</t>
        </is>
      </c>
      <c r="E19" s="3" t="inlineStr">
        <is>
          <t>C1 (stick)</t>
        </is>
      </c>
      <c r="F19" s="3" t="n">
        <v>2</v>
      </c>
      <c r="G19" s="3" t="n">
        <v>20</v>
      </c>
      <c r="H19" s="3" t="inlineStr">
        <is>
          <t>LCSC</t>
        </is>
      </c>
      <c r="I19" s="4" t="inlineStr">
        <is>
          <t>https://www.lcsc.com/product-detail/C15850.html</t>
        </is>
      </c>
      <c r="J19" s="3" t="n">
        <v>6.12</v>
      </c>
      <c r="K19" s="3">
        <f>ROUND(G19*J19,0)</f>
        <v/>
      </c>
      <c r="L19" s="3" t="inlineStr">
        <is>
          <t>quoted</t>
        </is>
      </c>
      <c r="M19" s="3" t="inlineStr">
        <is>
          <t>LCSC minimum 20</t>
        </is>
      </c>
    </row>
    <row r="20">
      <c r="A20" s="5" t="n">
        <v>15</v>
      </c>
      <c r="B20" s="5" t="inlineStr">
        <is>
          <t>SMD (JLC assembly or LCSC)</t>
        </is>
      </c>
      <c r="C20" s="5" t="inlineStr">
        <is>
          <t>JLC SMT assembly share (if JLC assembles)</t>
        </is>
      </c>
      <c r="D20" s="5" t="inlineStr">
        <is>
          <t>setup + stencil + 3 extended-part fees (DS1307, AHT20, ULN2003A) over 80 sets</t>
        </is>
      </c>
      <c r="E20" s="5" t="inlineStr">
        <is>
          <t>-</t>
        </is>
      </c>
      <c r="F20" s="5" t="n">
        <v>2</v>
      </c>
      <c r="G20" s="5" t="n">
        <v>0</v>
      </c>
      <c r="H20" s="5" t="inlineStr">
        <is>
          <t>JLCPCB / WhyPCB</t>
        </is>
      </c>
      <c r="I20" s="5" t="inlineStr">
        <is>
          <t>https://jlcpcb.com/smt-assembly</t>
        </is>
      </c>
      <c r="J20" s="5" t="n">
        <v>0</v>
      </c>
      <c r="K20" s="5">
        <f>ROUND(G20*J20,0)</f>
        <v/>
      </c>
      <c r="L20" s="6" t="inlineStr">
        <is>
          <t>estimate</t>
        </is>
      </c>
      <c r="M20" s="5" t="inlineStr">
        <is>
          <t>Not for samples: hand-assemble (0805 parts; AHT20 with hot air)</t>
        </is>
      </c>
    </row>
    <row r="21">
      <c r="A21" s="3" t="n">
        <v>16</v>
      </c>
      <c r="B21" s="3" t="inlineStr">
        <is>
          <t>Through-hole (India)</t>
        </is>
      </c>
      <c r="C21" s="3" t="inlineStr">
        <is>
          <t>ESP32-C3 Super Mini USB-C</t>
        </is>
      </c>
      <c r="D21" s="3" t="inlineStr">
        <is>
          <t>plugs into the two 1x8 sockets</t>
        </is>
      </c>
      <c r="E21" s="3" t="inlineStr">
        <is>
          <t>U1</t>
        </is>
      </c>
      <c r="F21" s="3" t="n">
        <v>2</v>
      </c>
      <c r="G21" s="3" t="n">
        <v>3</v>
      </c>
      <c r="H21" s="3" t="inlineStr">
        <is>
          <t>Robosap</t>
        </is>
      </c>
      <c r="I21" s="4" t="inlineStr">
        <is>
          <t>https://robosap.in/product/esp32-c3-super-mini-usb-c-type-development-board/</t>
        </is>
      </c>
      <c r="J21" s="3" t="n">
        <v>238.36</v>
      </c>
      <c r="K21" s="3">
        <f>ROUND(G21*J21,0)</f>
        <v/>
      </c>
      <c r="L21" s="3" t="inlineStr">
        <is>
          <t>quoted</t>
        </is>
      </c>
      <c r="M21" s="3" t="inlineStr">
        <is>
          <t>2 + 1 spare</t>
        </is>
      </c>
    </row>
    <row r="22">
      <c r="A22" s="3" t="n">
        <v>17</v>
      </c>
      <c r="B22" s="3" t="inlineStr">
        <is>
          <t>Through-hole (India)</t>
        </is>
      </c>
      <c r="C22" s="3" t="inlineStr">
        <is>
          <t>Female header 1x8 2.54 mm</t>
        </is>
      </c>
      <c r="D22" s="3" t="inlineStr">
        <is>
          <t>Super Mini socket, 8.5 mm tall</t>
        </is>
      </c>
      <c r="E22" s="3" t="inlineStr">
        <is>
          <t>U1</t>
        </is>
      </c>
      <c r="F22" s="3" t="n">
        <v>4</v>
      </c>
      <c r="G22" s="3" t="n">
        <v>4</v>
      </c>
      <c r="H22" s="3" t="inlineStr">
        <is>
          <t>Sharvi Electronics</t>
        </is>
      </c>
      <c r="I22" s="4" t="inlineStr">
        <is>
          <t>https://sharvielectronics.com/product/8x1-8pin-female-berg-strip-break-away-header-straight-2-54mm-pitch/</t>
        </is>
      </c>
      <c r="J22" s="3" t="n">
        <v>10.72</v>
      </c>
      <c r="K22" s="3">
        <f>ROUND(G22*J22,0)</f>
        <v/>
      </c>
      <c r="L22" s="3" t="inlineStr">
        <is>
          <t>quoted</t>
        </is>
      </c>
      <c r="M22" s="3" t="inlineStr"/>
    </row>
    <row r="23">
      <c r="A23" s="3" t="n">
        <v>18</v>
      </c>
      <c r="B23" s="3" t="inlineStr">
        <is>
          <t>Through-hole (India)</t>
        </is>
      </c>
      <c r="C23" s="3" t="inlineStr">
        <is>
          <t>Relay Hongfa HF46F 5 V, 5 A 250 VAC</t>
        </is>
      </c>
      <c r="D23" s="3" t="inlineStr">
        <is>
          <t>SPST-NO, sealed, VDE reinforced</t>
        </is>
      </c>
      <c r="E23" s="3" t="inlineStr">
        <is>
          <t>K1</t>
        </is>
      </c>
      <c r="F23" s="3" t="n">
        <v>2</v>
      </c>
      <c r="G23" s="3" t="n">
        <v>5</v>
      </c>
      <c r="H23" s="3" t="inlineStr">
        <is>
          <t>techiesms</t>
        </is>
      </c>
      <c r="I23" s="4" t="inlineStr">
        <is>
          <t>https://techiesms.com/product/hf46f-5v-pcb-sealed-relaypack-of-5/</t>
        </is>
      </c>
      <c r="J23" s="3" t="n">
        <v>42</v>
      </c>
      <c r="K23" s="3">
        <f>ROUND(G23*J23,0)</f>
        <v/>
      </c>
      <c r="L23" s="3" t="inlineStr">
        <is>
          <t>quoted</t>
        </is>
      </c>
      <c r="M23" s="3" t="inlineStr">
        <is>
          <t>Sold as a pack of 5 (Rs 210)</t>
        </is>
      </c>
    </row>
    <row r="24">
      <c r="A24" s="3" t="n">
        <v>19</v>
      </c>
      <c r="B24" s="3" t="inlineStr">
        <is>
          <t>Through-hole (India)</t>
        </is>
      </c>
      <c r="C24" s="3" t="inlineStr">
        <is>
          <t>CR2032 with 3 solder tabs, vertical</t>
        </is>
      </c>
      <c r="D24" s="3" t="inlineStr">
        <is>
          <t>2 x + legs 15.2 mm apart, 1 x - leg</t>
        </is>
      </c>
      <c r="E24" s="3" t="inlineStr">
        <is>
          <t>BT1</t>
        </is>
      </c>
      <c r="F24" s="3" t="n">
        <v>2</v>
      </c>
      <c r="G24" s="3" t="n">
        <v>3</v>
      </c>
      <c r="H24" s="3" t="inlineStr">
        <is>
          <t>Rajiv Electronics</t>
        </is>
      </c>
      <c r="I24" s="4" t="inlineStr">
        <is>
          <t>https://rajivelectronics.com/product/cr2032-3v-lithium-battery-vertical-3-pin-pc-mount-battery</t>
        </is>
      </c>
      <c r="J24" s="3" t="n">
        <v>29.5</v>
      </c>
      <c r="K24" s="3">
        <f>ROUND(G24*J24,0)</f>
        <v/>
      </c>
      <c r="L24" s="3" t="inlineStr">
        <is>
          <t>quoted</t>
        </is>
      </c>
      <c r="M24" s="3" t="inlineStr">
        <is>
          <t>2 + 1 to measure the leg positions</t>
        </is>
      </c>
    </row>
    <row r="25">
      <c r="A25" s="3" t="n">
        <v>20</v>
      </c>
      <c r="B25" s="3" t="inlineStr">
        <is>
          <t>Through-hole (India)</t>
        </is>
      </c>
      <c r="C25" s="3" t="inlineStr">
        <is>
          <t>ALTERNATIVE: CR2032 holder (vertical, 3 pins, Rajiv RBH-2) + loose CR2032 cell</t>
        </is>
      </c>
      <c r="D25" s="3" t="inlineStr">
        <is>
          <t>3-pin vertical holder; pin positions to be measured against the tabbed-cell pads</t>
        </is>
      </c>
      <c r="E25" s="3" t="inlineStr">
        <is>
          <t>BT1 (alt)</t>
        </is>
      </c>
      <c r="F25" s="3" t="n">
        <v>0</v>
      </c>
      <c r="G25" s="3" t="n">
        <v>2</v>
      </c>
      <c r="H25" s="3" t="inlineStr">
        <is>
          <t>Rajiv Electronics</t>
        </is>
      </c>
      <c r="I25" s="4" t="inlineStr">
        <is>
          <t>https://rajivelectronics.com/product/cr2032-3v-pcb-mount-vertical-battery-holder</t>
        </is>
      </c>
      <c r="J25" s="3" t="n">
        <v>11.8</v>
      </c>
      <c r="K25" s="3">
        <f>ROUND(G25*J25,0)</f>
        <v/>
      </c>
      <c r="L25" s="3" t="inlineStr">
        <is>
          <t>quoted</t>
        </is>
      </c>
      <c r="M25" s="3" t="inlineStr">
        <is>
          <t>Samples only, to measure the pins and judge quality</t>
        </is>
      </c>
    </row>
    <row r="26">
      <c r="A26" s="3" t="n">
        <v>21</v>
      </c>
      <c r="B26" s="3" t="inlineStr">
        <is>
          <t>Through-hole (India)</t>
        </is>
      </c>
      <c r="C26" s="3" t="inlineStr">
        <is>
          <t>Crystal 32.768 kHz 2x6 mm, 12.5 pF</t>
        </is>
      </c>
      <c r="D26" s="3" t="inlineStr">
        <is>
          <t>cylindrical</t>
        </is>
      </c>
      <c r="E26" s="3" t="inlineStr">
        <is>
          <t>Y1</t>
        </is>
      </c>
      <c r="F26" s="3" t="n">
        <v>2</v>
      </c>
      <c r="G26" s="3" t="n">
        <v>3</v>
      </c>
      <c r="H26" s="3" t="inlineStr">
        <is>
          <t>Magno Teknik</t>
        </is>
      </c>
      <c r="I26" s="4" t="inlineStr">
        <is>
          <t>https://store.magnoteknik.com/product/mtcr2632r768k/</t>
        </is>
      </c>
      <c r="J26" s="3" t="n">
        <v>15</v>
      </c>
      <c r="K26" s="3">
        <f>ROUND(G26*J26,0)</f>
        <v/>
      </c>
      <c r="L26" s="3" t="inlineStr">
        <is>
          <t>quoted</t>
        </is>
      </c>
      <c r="M26" s="3" t="inlineStr">
        <is>
          <t>2 + 1 spare</t>
        </is>
      </c>
    </row>
    <row r="27">
      <c r="A27" s="3" t="n">
        <v>22</v>
      </c>
      <c r="B27" s="3" t="inlineStr">
        <is>
          <t>Through-hole (India)</t>
        </is>
      </c>
      <c r="C27" s="3" t="inlineStr">
        <is>
          <t>Electrolytic 220 uF 10 V, 5 mm dia, 2.0 mm pitch</t>
        </is>
      </c>
      <c r="D27" s="3" t="inlineStr">
        <is>
          <t>radial 5 x 11</t>
        </is>
      </c>
      <c r="E27" s="3" t="inlineStr">
        <is>
          <t>C1</t>
        </is>
      </c>
      <c r="F27" s="3" t="n">
        <v>2</v>
      </c>
      <c r="G27" s="3" t="n">
        <v>2</v>
      </c>
      <c r="H27" s="3" t="inlineStr">
        <is>
          <t>Local market</t>
        </is>
      </c>
      <c r="I27" s="3" t="inlineStr"/>
      <c r="J27" s="3" t="n">
        <v>3</v>
      </c>
      <c r="K27" s="3">
        <f>ROUND(G27*J27,0)</f>
        <v/>
      </c>
      <c r="L27" s="7" t="inlineStr">
        <is>
          <t>estimate</t>
        </is>
      </c>
      <c r="M27" s="3" t="inlineStr"/>
    </row>
    <row r="28">
      <c r="A28" s="3" t="n">
        <v>23</v>
      </c>
      <c r="B28" s="3" t="inlineStr">
        <is>
          <t>Through-hole (India)</t>
        </is>
      </c>
      <c r="C28" s="3" t="inlineStr">
        <is>
          <t>Screw terminal 3.5 mm 2P (PUMP)</t>
        </is>
      </c>
      <c r="D28" s="3" t="inlineStr">
        <is>
          <t>KF350-2P / DG350 (Phoenix PT-1,5 footprint), horizontal</t>
        </is>
      </c>
      <c r="E28" s="3" t="inlineStr">
        <is>
          <t>J1</t>
        </is>
      </c>
      <c r="F28" s="3" t="n">
        <v>2</v>
      </c>
      <c r="G28" s="3" t="n">
        <v>8</v>
      </c>
      <c r="H28" s="3" t="inlineStr">
        <is>
          <t>Local market (Lamington Rd / SP Road)</t>
        </is>
      </c>
      <c r="I28" s="3" t="inlineStr"/>
      <c r="J28" s="3" t="n">
        <v>4</v>
      </c>
      <c r="K28" s="3">
        <f>ROUND(G28*J28,0)</f>
        <v/>
      </c>
      <c r="L28" s="7" t="inlineStr">
        <is>
          <t>estimate</t>
        </is>
      </c>
      <c r="M28" s="3" t="inlineStr">
        <is>
          <t>Per kit: PUMP 2P + I2C 2P+2P + the 2P half of AUX = 4 x 2P</t>
        </is>
      </c>
    </row>
    <row r="29">
      <c r="A29" s="5" t="n">
        <v>24</v>
      </c>
      <c r="B29" s="5" t="inlineStr">
        <is>
          <t>Through-hole (India)</t>
        </is>
      </c>
      <c r="C29" s="5" t="inlineStr">
        <is>
          <t>Screw terminal 3.5 mm 4P (I2C)</t>
        </is>
      </c>
      <c r="D29" s="5" t="inlineStr">
        <is>
          <t>KF350 2P + 2P joined</t>
        </is>
      </c>
      <c r="E29" s="5" t="inlineStr">
        <is>
          <t>J5</t>
        </is>
      </c>
      <c r="F29" s="5" t="n">
        <v>2</v>
      </c>
      <c r="G29" s="5" t="n">
        <v>0</v>
      </c>
      <c r="H29" s="5" t="inlineStr">
        <is>
          <t>Local market</t>
        </is>
      </c>
      <c r="I29" s="5" t="inlineStr"/>
      <c r="J29" s="5" t="n">
        <v>0</v>
      </c>
      <c r="K29" s="5">
        <f>ROUND(G29*J29,0)</f>
        <v/>
      </c>
      <c r="L29" s="6" t="inlineStr">
        <is>
          <t>estimate</t>
        </is>
      </c>
      <c r="M29" s="5" t="inlineStr">
        <is>
          <t>Made from 2 x 2P (counted in the 2P line)</t>
        </is>
      </c>
    </row>
    <row r="30">
      <c r="A30" s="3" t="n">
        <v>25</v>
      </c>
      <c r="B30" s="3" t="inlineStr">
        <is>
          <t>Through-hole (India)</t>
        </is>
      </c>
      <c r="C30" s="3" t="inlineStr">
        <is>
          <t>Screw terminal 3.5 mm 5P (AUX)</t>
        </is>
      </c>
      <c r="D30" s="3" t="inlineStr">
        <is>
          <t>KF350 2P + 3P joined</t>
        </is>
      </c>
      <c r="E30" s="3" t="inlineStr">
        <is>
          <t>J3</t>
        </is>
      </c>
      <c r="F30" s="3" t="n">
        <v>2</v>
      </c>
      <c r="G30" s="3" t="n">
        <v>2</v>
      </c>
      <c r="H30" s="3" t="inlineStr">
        <is>
          <t>Local market</t>
        </is>
      </c>
      <c r="I30" s="3" t="inlineStr"/>
      <c r="J30" s="3" t="n">
        <v>6</v>
      </c>
      <c r="K30" s="3">
        <f>ROUND(G30*J30,0)</f>
        <v/>
      </c>
      <c r="L30" s="7" t="inlineStr">
        <is>
          <t>estimate</t>
        </is>
      </c>
      <c r="M30" s="3" t="inlineStr">
        <is>
          <t>3P half of the 5P (the 2P half is in the 2P line)</t>
        </is>
      </c>
    </row>
    <row r="31">
      <c r="A31" s="3" t="n">
        <v>26</v>
      </c>
      <c r="B31" s="3" t="inlineStr">
        <is>
          <t>Through-hole (India)</t>
        </is>
      </c>
      <c r="C31" s="3" t="inlineStr">
        <is>
          <t>Screw terminal 3.5 mm 3P (FLOW, field builds)</t>
        </is>
      </c>
      <c r="D31" s="3" t="inlineStr">
        <is>
          <t>KF350-3P; fits the same holes as the JST-XH</t>
        </is>
      </c>
      <c r="E31" s="3" t="inlineStr">
        <is>
          <t>J4 (alt)</t>
        </is>
      </c>
      <c r="F31" s="3" t="n">
        <v>0</v>
      </c>
      <c r="G31" s="3" t="n">
        <v>2</v>
      </c>
      <c r="H31" s="3" t="inlineStr">
        <is>
          <t>Local market</t>
        </is>
      </c>
      <c r="I31" s="3" t="inlineStr"/>
      <c r="J31" s="3" t="n">
        <v>6</v>
      </c>
      <c r="K31" s="3">
        <f>ROUND(G31*J31,0)</f>
        <v/>
      </c>
      <c r="L31" s="7" t="inlineStr">
        <is>
          <t>estimate</t>
        </is>
      </c>
      <c r="M31" s="3" t="inlineStr">
        <is>
          <t>For testing the field (terminal) build of the flow input</t>
        </is>
      </c>
    </row>
    <row r="32">
      <c r="A32" s="3" t="n">
        <v>27</v>
      </c>
      <c r="B32" s="3" t="inlineStr">
        <is>
          <t>Through-hole (India)</t>
        </is>
      </c>
      <c r="C32" s="3" t="inlineStr">
        <is>
          <t>Pluggable header 5.08 mm 2P, vertical, + plug (RELAY 230 V)</t>
        </is>
      </c>
      <c r="D32" s="3" t="inlineStr">
        <is>
          <t>MSTBVA 2,5/2-G-5,08 type (2EDG-V 5.08) with 2EDGK plug</t>
        </is>
      </c>
      <c r="E32" s="3" t="inlineStr">
        <is>
          <t>J6</t>
        </is>
      </c>
      <c r="F32" s="3" t="n">
        <v>2</v>
      </c>
      <c r="G32" s="3" t="n">
        <v>2</v>
      </c>
      <c r="H32" s="3" t="inlineStr">
        <is>
          <t>Local market</t>
        </is>
      </c>
      <c r="I32" s="4" t="inlineStr">
        <is>
          <t>https://www.electronicscomp.com/kf301-2-pin-5.08mm-pitch-plug-in-screw-terminal-block-connector</t>
        </is>
      </c>
      <c r="J32" s="3" t="n">
        <v>15</v>
      </c>
      <c r="K32" s="3">
        <f>ROUND(G32*J32,0)</f>
        <v/>
      </c>
      <c r="L32" s="7" t="inlineStr">
        <is>
          <t>estimate</t>
        </is>
      </c>
      <c r="M32" s="3" t="inlineStr">
        <is>
          <t>Header + plug pairs</t>
        </is>
      </c>
    </row>
    <row r="33">
      <c r="A33" s="3" t="n">
        <v>28</v>
      </c>
      <c r="B33" s="3" t="inlineStr">
        <is>
          <t>Through-hole (India)</t>
        </is>
      </c>
      <c r="C33" s="3" t="inlineStr">
        <is>
          <t>JST-XH 3-pin male header, straight 2.5 mm (FLOW, student builds)</t>
        </is>
      </c>
      <c r="D33" s="3" t="inlineStr">
        <is>
          <t>B3B-XH-A type; shares the footprint with the 3.5 mm terminal</t>
        </is>
      </c>
      <c r="E33" s="3" t="inlineStr">
        <is>
          <t>J4</t>
        </is>
      </c>
      <c r="F33" s="3" t="n">
        <v>2</v>
      </c>
      <c r="G33" s="3" t="n">
        <v>3</v>
      </c>
      <c r="H33" s="3" t="inlineStr">
        <is>
          <t>DNA Technology</t>
        </is>
      </c>
      <c r="I33" s="4" t="inlineStr">
        <is>
          <t>https://www.dnatechindia.com/3-pin-2-50mm-jst-xh-straight-male-connector-buy-in-india.html</t>
        </is>
      </c>
      <c r="J33" s="3" t="n">
        <v>4.56</v>
      </c>
      <c r="K33" s="3">
        <f>ROUND(G33*J33,0)</f>
        <v/>
      </c>
      <c r="L33" s="3" t="inlineStr">
        <is>
          <t>quoted</t>
        </is>
      </c>
      <c r="M33" s="3" t="inlineStr">
        <is>
          <t>2 + 1 spare</t>
        </is>
      </c>
    </row>
    <row r="34">
      <c r="A34" s="3" t="n">
        <v>29</v>
      </c>
      <c r="B34" s="3" t="inlineStr">
        <is>
          <t>Kit items</t>
        </is>
      </c>
      <c r="C34" s="3" t="inlineStr">
        <is>
          <t>Flow sensor YF-S401 0.3-6 L/min</t>
        </is>
      </c>
      <c r="D34" s="3" t="inlineStr">
        <is>
          <t>5880 pulses per litre, JST-XH lead</t>
        </is>
      </c>
      <c r="E34" s="3" t="inlineStr">
        <is>
          <t>-</t>
        </is>
      </c>
      <c r="F34" s="3" t="n">
        <v>2</v>
      </c>
      <c r="G34" s="3" t="n">
        <v>2</v>
      </c>
      <c r="H34" s="3" t="inlineStr">
        <is>
          <t>AM Electronics</t>
        </is>
      </c>
      <c r="I34" s="4" t="inlineStr">
        <is>
          <t>https://amelectronics.in/product/water-flow-sensor-yf-s401-flowmeter-0-3-6l-min-3-5mm-white/</t>
        </is>
      </c>
      <c r="J34" s="3" t="n">
        <v>230</v>
      </c>
      <c r="K34" s="3">
        <f>ROUND(G34*J34,0)</f>
        <v/>
      </c>
      <c r="L34" s="3" t="inlineStr">
        <is>
          <t>quoted</t>
        </is>
      </c>
      <c r="M34" s="3" t="inlineStr"/>
    </row>
    <row r="35">
      <c r="A35" s="3" t="n">
        <v>30</v>
      </c>
      <c r="B35" s="3" t="inlineStr">
        <is>
          <t>Kit items</t>
        </is>
      </c>
      <c r="C35" s="3" t="inlineStr">
        <is>
          <t>Mini submersible pump 3-9 V DC</t>
        </is>
      </c>
      <c r="D35" s="3" t="inlineStr">
        <is>
          <t>for 5 V, about 0.2-0.3 A</t>
        </is>
      </c>
      <c r="E35" s="3" t="inlineStr">
        <is>
          <t>-</t>
        </is>
      </c>
      <c r="F35" s="3" t="n">
        <v>2</v>
      </c>
      <c r="G35" s="3" t="n">
        <v>2</v>
      </c>
      <c r="H35" s="3" t="inlineStr">
        <is>
          <t>QuartzComponents</t>
        </is>
      </c>
      <c r="I35" s="4" t="inlineStr">
        <is>
          <t>https://quartzcomponents.com/products/3v-to-12v-mini-dc-submersible-pump</t>
        </is>
      </c>
      <c r="J35" s="3" t="n">
        <v>61</v>
      </c>
      <c r="K35" s="3">
        <f>ROUND(G35*J35,0)</f>
        <v/>
      </c>
      <c r="L35" s="3" t="inlineStr">
        <is>
          <t>quoted</t>
        </is>
      </c>
      <c r="M35" s="3" t="inlineStr">
        <is>
          <t>Rs 33 version out of stock; U-nozzle version Rs 61</t>
        </is>
      </c>
    </row>
    <row r="36">
      <c r="A36" s="3" t="n">
        <v>31</v>
      </c>
      <c r="B36" s="3" t="inlineStr">
        <is>
          <t>Kit items</t>
        </is>
      </c>
      <c r="C36" s="3" t="inlineStr">
        <is>
          <t>Enclosure REI IP-65-26 (TR top) 90x58x44</t>
        </is>
      </c>
      <c r="D36" s="3" t="inlineStr">
        <is>
          <t>clear lid</t>
        </is>
      </c>
      <c r="E36" s="3" t="inlineStr">
        <is>
          <t>-</t>
        </is>
      </c>
      <c r="F36" s="3" t="n">
        <v>2</v>
      </c>
      <c r="G36" s="3" t="n">
        <v>2</v>
      </c>
      <c r="H36" s="3" t="inlineStr">
        <is>
          <t>REI Cabinets</t>
        </is>
      </c>
      <c r="I36" s="4" t="inlineStr">
        <is>
          <t>https://www.reicabinets.com/product?cid=16&amp;pid=479&amp;prodn=IP-65-26%20(TR%20Top)</t>
        </is>
      </c>
      <c r="J36" s="3" t="n">
        <v>95</v>
      </c>
      <c r="K36" s="3">
        <f>ROUND(G36*J36,0)</f>
        <v/>
      </c>
      <c r="L36" s="3" t="inlineStr">
        <is>
          <t>quoted</t>
        </is>
      </c>
      <c r="M36" s="3" t="inlineStr"/>
    </row>
    <row r="37">
      <c r="A37" s="3" t="n">
        <v>32</v>
      </c>
      <c r="B37" s="3" t="inlineStr">
        <is>
          <t>Kit items</t>
        </is>
      </c>
      <c r="C37" s="3" t="inlineStr">
        <is>
          <t>Nylon reverse-mount snap standoff 5 mm</t>
        </is>
      </c>
      <c r="D37" s="3" t="inlineStr">
        <is>
          <t>base taped to the box floor, head through the 4.2 mm PCB hole</t>
        </is>
      </c>
      <c r="E37" s="3" t="inlineStr">
        <is>
          <t>H1-H3</t>
        </is>
      </c>
      <c r="F37" s="3" t="n">
        <v>6</v>
      </c>
      <c r="G37" s="3" t="n">
        <v>8</v>
      </c>
      <c r="H37" s="3" t="inlineStr">
        <is>
          <t>Probots</t>
        </is>
      </c>
      <c r="I37" s="4" t="inlineStr">
        <is>
          <t>https://probots.co.in/5mm-nylon-reverse-mount-pcb-standoff-spacer.html</t>
        </is>
      </c>
      <c r="J37" s="3" t="n">
        <v>10</v>
      </c>
      <c r="K37" s="3">
        <f>ROUND(G37*J37,0)</f>
        <v/>
      </c>
      <c r="L37" s="3" t="inlineStr">
        <is>
          <t>quoted</t>
        </is>
      </c>
      <c r="M37" s="3" t="inlineStr">
        <is>
          <t>6 + 2 spare (Rs 10 below 25 pcs)</t>
        </is>
      </c>
    </row>
    <row r="38">
      <c r="A38" s="3" t="n">
        <v>33</v>
      </c>
      <c r="B38" s="3" t="inlineStr">
        <is>
          <t>Kit items</t>
        </is>
      </c>
      <c r="C38" s="3" t="inlineStr">
        <is>
          <t>Double-sided foam tape (3M VHB type) squares</t>
        </is>
      </c>
      <c r="D38" s="3" t="inlineStr">
        <is>
          <t>about 10 x 10 mm, one per standoff</t>
        </is>
      </c>
      <c r="E38" s="3" t="inlineStr">
        <is>
          <t>-</t>
        </is>
      </c>
      <c r="F38" s="3" t="n">
        <v>6</v>
      </c>
      <c r="G38" s="3" t="n">
        <v>1</v>
      </c>
      <c r="H38" s="3" t="inlineStr">
        <is>
          <t>Local market</t>
        </is>
      </c>
      <c r="I38" s="3" t="inlineStr"/>
      <c r="J38" s="3" t="n">
        <v>60</v>
      </c>
      <c r="K38" s="3">
        <f>ROUND(G38*J38,0)</f>
        <v/>
      </c>
      <c r="L38" s="7" t="inlineStr">
        <is>
          <t>estimate</t>
        </is>
      </c>
      <c r="M38" s="3" t="inlineStr">
        <is>
          <t>One small roll</t>
        </is>
      </c>
    </row>
    <row r="39">
      <c r="A39" s="3" t="n">
        <v>34</v>
      </c>
      <c r="B39" s="3" t="inlineStr">
        <is>
          <t>Kit items</t>
        </is>
      </c>
      <c r="C39" s="3" t="inlineStr">
        <is>
          <t>Cable gland PG7 nylon (3-6 mm cable)</t>
        </is>
      </c>
      <c r="D39" s="3" t="inlineStr">
        <is>
          <t>USB, sensors, pump</t>
        </is>
      </c>
      <c r="E39" s="3" t="inlineStr">
        <is>
          <t>-</t>
        </is>
      </c>
      <c r="F39" s="3" t="n">
        <v>6</v>
      </c>
      <c r="G39" s="3" t="n">
        <v>6</v>
      </c>
      <c r="H39" s="3" t="inlineStr">
        <is>
          <t>ElectroHeight</t>
        </is>
      </c>
      <c r="I39" s="4" t="inlineStr">
        <is>
          <t>https://electroheight.com/PG7-cable-gland</t>
        </is>
      </c>
      <c r="J39" s="3" t="n">
        <v>11.8</v>
      </c>
      <c r="K39" s="3">
        <f>ROUND(G39*J39,0)</f>
        <v/>
      </c>
      <c r="L39" s="3" t="inlineStr">
        <is>
          <t>quoted</t>
        </is>
      </c>
      <c r="M39" s="3" t="inlineStr">
        <is>
          <t>Single pieces (DNA Technology Rs 11.80)</t>
        </is>
      </c>
    </row>
    <row r="40">
      <c r="A40" s="3" t="n">
        <v>35</v>
      </c>
      <c r="B40" s="3" t="inlineStr">
        <is>
          <t>Kit items</t>
        </is>
      </c>
      <c r="C40" s="3" t="inlineStr">
        <is>
          <t>4-core cable 1 m (AHT20 stick)</t>
        </is>
      </c>
      <c r="D40" s="3" t="inlineStr">
        <is>
          <t>e.g. 4 x 0.25 sq mm</t>
        </is>
      </c>
      <c r="E40" s="3" t="inlineStr">
        <is>
          <t>-</t>
        </is>
      </c>
      <c r="F40" s="3" t="n">
        <v>2</v>
      </c>
      <c r="G40" s="3" t="n">
        <v>2</v>
      </c>
      <c r="H40" s="3" t="inlineStr">
        <is>
          <t>Local market</t>
        </is>
      </c>
      <c r="I40" s="3" t="inlineStr"/>
      <c r="J40" s="3" t="n">
        <v>15</v>
      </c>
      <c r="K40" s="3">
        <f>ROUND(G40*J40,0)</f>
        <v/>
      </c>
      <c r="L40" s="7" t="inlineStr">
        <is>
          <t>estimate</t>
        </is>
      </c>
      <c r="M40" s="3" t="inlineStr">
        <is>
          <t>2 m</t>
        </is>
      </c>
    </row>
    <row r="41">
      <c r="A41" s="3" t="n">
        <v>36</v>
      </c>
      <c r="B41" s="3" t="inlineStr">
        <is>
          <t>Kit items</t>
        </is>
      </c>
      <c r="C41" s="3" t="inlineStr">
        <is>
          <t>Silicone tube 1 m for the pump</t>
        </is>
      </c>
      <c r="D41" s="3" t="inlineStr">
        <is>
          <t>match the pump outlet (about 7.5 mm OD)</t>
        </is>
      </c>
      <c r="E41" s="3" t="inlineStr">
        <is>
          <t>-</t>
        </is>
      </c>
      <c r="F41" s="3" t="n">
        <v>2</v>
      </c>
      <c r="G41" s="3" t="n">
        <v>2</v>
      </c>
      <c r="H41" s="3" t="inlineStr">
        <is>
          <t>Local market</t>
        </is>
      </c>
      <c r="I41" s="3" t="inlineStr"/>
      <c r="J41" s="3" t="n">
        <v>30</v>
      </c>
      <c r="K41" s="3">
        <f>ROUND(G41*J41,0)</f>
        <v/>
      </c>
      <c r="L41" s="7" t="inlineStr">
        <is>
          <t>estimate</t>
        </is>
      </c>
      <c r="M41" s="3" t="inlineStr">
        <is>
          <t>2 m</t>
        </is>
      </c>
    </row>
    <row r="42">
      <c r="C42" s="8" t="n"/>
      <c r="K42" s="8" t="n"/>
    </row>
    <row r="43">
      <c r="A43" t="inlineStr"/>
      <c r="B43" t="inlineStr"/>
      <c r="C43" t="inlineStr">
        <is>
          <t>LCSC order (SMD parts)</t>
        </is>
      </c>
      <c r="D43" t="inlineStr"/>
      <c r="E43" t="inlineStr"/>
      <c r="F43" t="inlineStr"/>
      <c r="G43" t="inlineStr"/>
      <c r="H43" t="inlineStr"/>
      <c r="I43" t="inlineStr"/>
      <c r="J43" t="inlineStr"/>
      <c r="K43">
        <f>SUMIF(B6:B41,"SMD (JLC assembly or LCSC)",K6:K41)</f>
        <v/>
      </c>
    </row>
    <row r="44">
      <c r="A44" t="inlineStr"/>
      <c r="B44" t="inlineStr"/>
      <c r="C44" s="8" t="inlineStr">
        <is>
          <t>Indian suppliers / local</t>
        </is>
      </c>
      <c r="D44" t="inlineStr"/>
      <c r="E44" t="inlineStr"/>
      <c r="F44" t="inlineStr"/>
      <c r="G44" t="inlineStr"/>
      <c r="H44" t="inlineStr"/>
      <c r="I44" t="inlineStr"/>
      <c r="J44" t="inlineStr"/>
      <c r="K44" s="8">
        <f>SUMIF(B6:B41,"Through-hole (India)",K6:K41)+SUMIF(B6:B41,"Kit items",K6:K41)</f>
        <v/>
      </c>
    </row>
    <row r="45">
      <c r="A45" t="inlineStr"/>
      <c r="B45" t="inlineStr"/>
      <c r="C45" s="9" t="inlineStr">
        <is>
          <t>TOTAL parts for 2 sample kits (+ LCSC shipping)</t>
        </is>
      </c>
      <c r="D45" t="inlineStr"/>
      <c r="E45" t="inlineStr"/>
      <c r="F45" t="inlineStr"/>
      <c r="G45" t="inlineStr"/>
      <c r="H45" t="inlineStr"/>
      <c r="I45" t="inlineStr"/>
      <c r="J45" t="inlineStr"/>
      <c r="K45" s="9">
        <f>SUM(K6:K41)</f>
        <v/>
      </c>
    </row>
  </sheetData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32" r:id="rId22"/>
    <hyperlink xmlns:r="http://schemas.openxmlformats.org/officeDocument/2006/relationships" ref="I33" r:id="rId23"/>
    <hyperlink xmlns:r="http://schemas.openxmlformats.org/officeDocument/2006/relationships" ref="I34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36" customWidth="1" min="3" max="3"/>
    <col width="34" customWidth="1" min="4" max="4"/>
    <col width="12" customWidth="1" min="5" max="5"/>
    <col width="8" customWidth="1" min="6" max="6"/>
    <col width="10" customWidth="1" min="7" max="7"/>
    <col width="22" customWidth="1" min="8" max="8"/>
    <col width="48" customWidth="1" min="9" max="9"/>
    <col width="9" customWidth="1" min="10" max="10"/>
    <col width="9" customWidth="1" min="11" max="11"/>
    <col width="11" customWidth="1" min="12" max="12"/>
    <col width="9" customWidth="1" min="13" max="13"/>
    <col width="50" customWidth="1" min="14" max="14"/>
  </cols>
  <sheetData>
    <row r="1">
      <c r="A1" s="1" t="inlineStr">
        <is>
          <t>ASC Mini-C3 kit: sourcing BOM (prices checked 2026-10-10, LCSC at USD 1 = Rs 88)</t>
        </is>
      </c>
    </row>
    <row r="2">
      <c r="A2" t="inlineStr">
        <is>
          <t>Batch of 80 kits = 20 panels x 4. Rs / kit = unit x qty. 'quoted' = read from the supplier page; 'estimate' = confirm with the supplier.</t>
        </is>
      </c>
    </row>
    <row r="4">
      <c r="A4" s="2" t="inlineStr">
        <is>
          <t>#</t>
        </is>
      </c>
      <c r="B4" s="2" t="inlineStr">
        <is>
          <t>Group</t>
        </is>
      </c>
      <c r="C4" s="2" t="inlineStr">
        <is>
          <t>Item</t>
        </is>
      </c>
      <c r="D4" s="2" t="inlineStr">
        <is>
          <t>Part / spec</t>
        </is>
      </c>
      <c r="E4" s="2" t="inlineStr">
        <is>
          <t>Ref</t>
        </is>
      </c>
      <c r="F4" s="2" t="inlineStr">
        <is>
          <t>Qty / kit</t>
        </is>
      </c>
      <c r="G4" s="2" t="inlineStr">
        <is>
          <t>Qty for 80 kits</t>
        </is>
      </c>
      <c r="H4" s="2" t="inlineStr">
        <is>
          <t>Supplier</t>
        </is>
      </c>
      <c r="I4" s="2" t="inlineStr">
        <is>
          <t>Link</t>
        </is>
      </c>
      <c r="J4" s="2" t="inlineStr">
        <is>
          <t>Unit Rs</t>
        </is>
      </c>
      <c r="K4" s="2" t="inlineStr">
        <is>
          <t>Rs / kit</t>
        </is>
      </c>
      <c r="L4" s="2" t="inlineStr">
        <is>
          <t>Rs for 80 kits</t>
        </is>
      </c>
      <c r="M4" s="2" t="inlineStr">
        <is>
          <t>Price</t>
        </is>
      </c>
      <c r="N4" s="2" t="inlineStr">
        <is>
          <t>Notes</t>
        </is>
      </c>
    </row>
    <row r="5">
      <c r="A5" s="3" t="n">
        <v>1</v>
      </c>
      <c r="B5" s="3" t="inlineStr">
        <is>
          <t>PCB</t>
        </is>
      </c>
      <c r="C5" s="3" t="inlineStr">
        <is>
          <t>PCB panel share: 1 Mini-C3 (+ half an AHT20 stick)</t>
        </is>
      </c>
      <c r="D5" s="3" t="inlineStr">
        <is>
          <t>98 x 98 panel = 4 Minis + 2 sticks, 2 layers, 1.6 mm, HASL; 2 mm routed slots + mouse bites (no V-cut)</t>
        </is>
      </c>
      <c r="E5" s="3" t="inlineStr">
        <is>
          <t>-</t>
        </is>
      </c>
      <c r="F5" s="3" t="n">
        <v>0.25</v>
      </c>
      <c r="G5" s="3">
        <f>CEILING(F5*80,1)</f>
        <v/>
      </c>
      <c r="H5" s="3" t="inlineStr">
        <is>
          <t>WhyPCB (JLCPCB partner)</t>
        </is>
      </c>
      <c r="I5" s="4" t="inlineStr">
        <is>
          <t>https://www.whypcb.com/pcb-price-calculator/R0VSQkVSU1RPUkUtMzU2OA==</t>
        </is>
      </c>
      <c r="J5" s="3" t="n">
        <v>200</v>
      </c>
      <c r="K5" s="3">
        <f>ROUND(F5*J5,2)</f>
        <v/>
      </c>
      <c r="L5" s="3">
        <f>ROUND(F5*80*J5,0)</f>
        <v/>
      </c>
      <c r="M5" s="3" t="inlineStr">
        <is>
          <t>quoted</t>
        </is>
      </c>
      <c r="N5" s="3" t="inlineStr">
        <is>
          <t>WhyPCB rates: Rs 2,000 for 10 panels (Rs 200 each), Rs 1,500 for 5. A panel has 2 sticks for 4 Minis (FG1 builds need none); student-only batches need an extra stick panel or sticks from a second order. Order fab/ASC-MiniC3-panel-gerbers.zip</t>
        </is>
      </c>
    </row>
    <row r="6">
      <c r="A6" s="3" t="n">
        <v>2</v>
      </c>
      <c r="B6" s="3" t="inlineStr">
        <is>
          <t>SMD (JLC assembly or LCSC)</t>
        </is>
      </c>
      <c r="C6" s="3" t="inlineStr">
        <is>
          <t>RTC DS1307 (MSKSEMI, pin compatible)</t>
        </is>
      </c>
      <c r="D6" s="3" t="inlineStr">
        <is>
          <t>DS1307Z+MSK SOIC-8, LCSC C49375271</t>
        </is>
      </c>
      <c r="E6" s="3" t="inlineStr">
        <is>
          <t>U2</t>
        </is>
      </c>
      <c r="F6" s="3" t="n">
        <v>1</v>
      </c>
      <c r="G6" s="3">
        <f>CEILING(F6*80,1)</f>
        <v/>
      </c>
      <c r="H6" s="3" t="inlineStr">
        <is>
          <t>LCSC</t>
        </is>
      </c>
      <c r="I6" s="4" t="inlineStr">
        <is>
          <t>https://www.lcsc.com/product-detail/C49375271.html</t>
        </is>
      </c>
      <c r="J6" s="3" t="n">
        <v>17.7</v>
      </c>
      <c r="K6" s="3">
        <f>ROUND(F6*J6,2)</f>
        <v/>
      </c>
      <c r="L6" s="3">
        <f>ROUND(F6*80*J6,0)</f>
        <v/>
      </c>
      <c r="M6" s="3" t="inlineStr">
        <is>
          <t>quoted</t>
        </is>
      </c>
      <c r="N6" s="3" t="inlineStr">
        <is>
          <t>Genuine Maxim DS1307Z+ (C1520446) is about Rs 240; the clone is enough here</t>
        </is>
      </c>
    </row>
    <row r="7">
      <c r="A7" s="3" t="n">
        <v>3</v>
      </c>
      <c r="B7" s="3" t="inlineStr">
        <is>
          <t>SMD (JLC assembly or LCSC)</t>
        </is>
      </c>
      <c r="C7" s="3" t="inlineStr">
        <is>
          <t>T/RH sensor AHT20 (on the stick)</t>
        </is>
      </c>
      <c r="D7" s="3" t="inlineStr">
        <is>
          <t>AHT20 DFN-6 3x3, LCSC C2757850</t>
        </is>
      </c>
      <c r="E7" s="3" t="inlineStr">
        <is>
          <t>U1 (stick)</t>
        </is>
      </c>
      <c r="F7" s="3" t="n">
        <v>1</v>
      </c>
      <c r="G7" s="3">
        <f>CEILING(F7*80,1)</f>
        <v/>
      </c>
      <c r="H7" s="3" t="inlineStr">
        <is>
          <t>LCSC</t>
        </is>
      </c>
      <c r="I7" s="4" t="inlineStr">
        <is>
          <t>https://www.lcsc.com/product-detail/C2757850.html</t>
        </is>
      </c>
      <c r="J7" s="3" t="n">
        <v>30</v>
      </c>
      <c r="K7" s="3">
        <f>ROUND(F7*J7,2)</f>
        <v/>
      </c>
      <c r="L7" s="3">
        <f>ROUND(F7*80*J7,0)</f>
        <v/>
      </c>
      <c r="M7" s="3" t="inlineStr">
        <is>
          <t>quoted</t>
        </is>
      </c>
      <c r="N7" s="3" t="inlineStr">
        <is>
          <t>USD 0.32-0.65 at 10+ depending on stock lot; needs reflow (JLC or hot air)</t>
        </is>
      </c>
    </row>
    <row r="8">
      <c r="A8" s="3" t="n">
        <v>4</v>
      </c>
      <c r="B8" s="3" t="inlineStr">
        <is>
          <t>SMD (JLC assembly or LCSC)</t>
        </is>
      </c>
      <c r="C8" s="3" t="inlineStr">
        <is>
          <t>Schottky B5819W (flow level shift)</t>
        </is>
      </c>
      <c r="D8" s="3" t="inlineStr">
        <is>
          <t>SOD-123, LCSC C8598 (basic)</t>
        </is>
      </c>
      <c r="E8" s="3" t="inlineStr">
        <is>
          <t>D2</t>
        </is>
      </c>
      <c r="F8" s="3" t="n">
        <v>1</v>
      </c>
      <c r="G8" s="3">
        <f>CEILING(F8*80,1)</f>
        <v/>
      </c>
      <c r="H8" s="3" t="inlineStr">
        <is>
          <t>LCSC</t>
        </is>
      </c>
      <c r="I8" s="4" t="inlineStr">
        <is>
          <t>https://www.lcsc.com/product-detail/C8598.html</t>
        </is>
      </c>
      <c r="J8" s="3" t="n">
        <v>1.9</v>
      </c>
      <c r="K8" s="3">
        <f>ROUND(F8*J8,2)</f>
        <v/>
      </c>
      <c r="L8" s="3">
        <f>ROUND(F8*80*J8,0)</f>
        <v/>
      </c>
      <c r="M8" s="3" t="inlineStr">
        <is>
          <t>quoted</t>
        </is>
      </c>
      <c r="N8" s="3" t="inlineStr"/>
    </row>
    <row r="9">
      <c r="A9" s="3" t="n">
        <v>5</v>
      </c>
      <c r="B9" s="3" t="inlineStr">
        <is>
          <t>SMD (JLC assembly or LCSC)</t>
        </is>
      </c>
      <c r="C9" s="3" t="inlineStr">
        <is>
          <t>Driver ULN2003A (pump on ch 1+2, relay on ch 3)</t>
        </is>
      </c>
      <c r="D9" s="3" t="inlineStr">
        <is>
          <t>SOIC-16, TI ULN2003ADR, LCSC C7512</t>
        </is>
      </c>
      <c r="E9" s="3" t="inlineStr">
        <is>
          <t>U3</t>
        </is>
      </c>
      <c r="F9" s="3" t="n">
        <v>1</v>
      </c>
      <c r="G9" s="3">
        <f>CEILING(F9*80,1)</f>
        <v/>
      </c>
      <c r="H9" s="3" t="inlineStr">
        <is>
          <t>LCSC</t>
        </is>
      </c>
      <c r="I9" s="4" t="inlineStr">
        <is>
          <t>https://www.lcsc.com/product-detail/C7512.html</t>
        </is>
      </c>
      <c r="J9" s="3" t="n">
        <v>10.4</v>
      </c>
      <c r="K9" s="3">
        <f>ROUND(F9*J9,2)</f>
        <v/>
      </c>
      <c r="L9" s="3">
        <f>ROUND(F9*80*J9,0)</f>
        <v/>
      </c>
      <c r="M9" s="3" t="inlineStr">
        <is>
          <t>quoted</t>
        </is>
      </c>
      <c r="N9" s="3" t="inlineStr">
        <is>
          <t>Replaces 2 x AO3400A, 3 x B5819W and 4 resistors; same driver as FG1</t>
        </is>
      </c>
    </row>
    <row r="10">
      <c r="A10" s="3" t="n">
        <v>6</v>
      </c>
      <c r="B10" s="3" t="inlineStr">
        <is>
          <t>SMD (JLC assembly or LCSC)</t>
        </is>
      </c>
      <c r="C10" s="3" t="inlineStr">
        <is>
          <t>LED 1206 yellow (PUMP, RELAY)</t>
        </is>
      </c>
      <c r="D10" s="3" t="inlineStr">
        <is>
          <t>YONGYUTAI YLED1206Y, LCSC C30584802</t>
        </is>
      </c>
      <c r="E10" s="3" t="inlineStr">
        <is>
          <t>D3, D7</t>
        </is>
      </c>
      <c r="F10" s="3" t="n">
        <v>2</v>
      </c>
      <c r="G10" s="3">
        <f>CEILING(F10*80,1)</f>
        <v/>
      </c>
      <c r="H10" s="3" t="inlineStr">
        <is>
          <t>LCSC</t>
        </is>
      </c>
      <c r="I10" s="4" t="inlineStr">
        <is>
          <t>https://www.lcsc.com/product-detail/C30584802.html</t>
        </is>
      </c>
      <c r="J10" s="3" t="n">
        <v>1.4</v>
      </c>
      <c r="K10" s="3">
        <f>ROUND(F10*J10,2)</f>
        <v/>
      </c>
      <c r="L10" s="3">
        <f>ROUND(F10*80*J10,0)</f>
        <v/>
      </c>
      <c r="M10" s="3" t="inlineStr">
        <is>
          <t>quoted</t>
        </is>
      </c>
      <c r="N10" s="3" t="inlineStr">
        <is>
          <t>1206 for hand soldering, as on WPC</t>
        </is>
      </c>
    </row>
    <row r="11">
      <c r="A11" s="3" t="n">
        <v>7</v>
      </c>
      <c r="B11" s="3" t="inlineStr">
        <is>
          <t>SMD (JLC assembly or LCSC)</t>
        </is>
      </c>
      <c r="C11" s="3" t="inlineStr">
        <is>
          <t>LED 1206 red (STATUS)</t>
        </is>
      </c>
      <c r="D11" s="3" t="inlineStr">
        <is>
          <t>YLED1206RFT, LCSC C37635751</t>
        </is>
      </c>
      <c r="E11" s="3" t="inlineStr">
        <is>
          <t>D5</t>
        </is>
      </c>
      <c r="F11" s="3" t="n">
        <v>1</v>
      </c>
      <c r="G11" s="3">
        <f>CEILING(F11*80,1)</f>
        <v/>
      </c>
      <c r="H11" s="3" t="inlineStr">
        <is>
          <t>LCSC</t>
        </is>
      </c>
      <c r="I11" s="4" t="inlineStr">
        <is>
          <t>https://www.lcsc.com/product-detail/C37635751.html</t>
        </is>
      </c>
      <c r="J11" s="3" t="n">
        <v>1.8</v>
      </c>
      <c r="K11" s="3">
        <f>ROUND(F11*J11,2)</f>
        <v/>
      </c>
      <c r="L11" s="3">
        <f>ROUND(F11*80*J11,0)</f>
        <v/>
      </c>
      <c r="M11" s="3" t="inlineStr">
        <is>
          <t>quoted</t>
        </is>
      </c>
      <c r="N11" s="3" t="inlineStr"/>
    </row>
    <row r="12">
      <c r="A12" s="3" t="n">
        <v>8</v>
      </c>
      <c r="B12" s="3" t="inlineStr">
        <is>
          <t>SMD (JLC assembly or LCSC)</t>
        </is>
      </c>
      <c r="C12" s="3" t="inlineStr">
        <is>
          <t>LED 1206 yellow-green (FLOW)</t>
        </is>
      </c>
      <c r="D12" s="3" t="inlineStr">
        <is>
          <t>YLED1206YG 576 nm, LCSC C28310441</t>
        </is>
      </c>
      <c r="E12" s="3" t="inlineStr">
        <is>
          <t>D4</t>
        </is>
      </c>
      <c r="F12" s="3" t="n">
        <v>1</v>
      </c>
      <c r="G12" s="3">
        <f>CEILING(F12*80,1)</f>
        <v/>
      </c>
      <c r="H12" s="3" t="inlineStr">
        <is>
          <t>LCSC</t>
        </is>
      </c>
      <c r="I12" s="4" t="inlineStr">
        <is>
          <t>https://www.lcsc.com/product-detail/C28310441.html</t>
        </is>
      </c>
      <c r="J12" s="3" t="n">
        <v>1.4</v>
      </c>
      <c r="K12" s="3">
        <f>ROUND(F12*J12,2)</f>
        <v/>
      </c>
      <c r="L12" s="3">
        <f>ROUND(F12*80*J12,0)</f>
        <v/>
      </c>
      <c r="M12" s="3" t="inlineStr">
        <is>
          <t>quoted</t>
        </is>
      </c>
      <c r="N12" s="3" t="inlineStr">
        <is>
          <t>Yellow-green (Vf ~2 V), not emerald green (Vf ~3 V): this LED runs from 3.3 V into the sensor output</t>
        </is>
      </c>
    </row>
    <row r="13">
      <c r="A13" s="3" t="n">
        <v>9</v>
      </c>
      <c r="B13" s="3" t="inlineStr">
        <is>
          <t>SMD (JLC assembly or LCSC)</t>
        </is>
      </c>
      <c r="C13" s="3" t="inlineStr">
        <is>
          <t>Resistor 0805 1k</t>
        </is>
      </c>
      <c r="D13" s="3" t="inlineStr">
        <is>
          <t>LCSC C17513</t>
        </is>
      </c>
      <c r="E13" s="3" t="inlineStr">
        <is>
          <t>R3, R4, R12</t>
        </is>
      </c>
      <c r="F13" s="3" t="n">
        <v>3</v>
      </c>
      <c r="G13" s="3">
        <f>CEILING(F13*80,1)</f>
        <v/>
      </c>
      <c r="H13" s="3" t="inlineStr">
        <is>
          <t>LCSC</t>
        </is>
      </c>
      <c r="I13" s="4" t="inlineStr">
        <is>
          <t>https://www.lcsc.com/product-detail/C17513.html</t>
        </is>
      </c>
      <c r="J13" s="3" t="n">
        <v>0.31</v>
      </c>
      <c r="K13" s="3">
        <f>ROUND(F13*J13,2)</f>
        <v/>
      </c>
      <c r="L13" s="3">
        <f>ROUND(F13*80*J13,0)</f>
        <v/>
      </c>
      <c r="M13" s="3" t="inlineStr">
        <is>
          <t>quoted</t>
        </is>
      </c>
      <c r="N13" s="3" t="inlineStr"/>
    </row>
    <row r="14">
      <c r="A14" s="3" t="n">
        <v>10</v>
      </c>
      <c r="B14" s="3" t="inlineStr">
        <is>
          <t>SMD (JLC assembly or LCSC)</t>
        </is>
      </c>
      <c r="C14" s="3" t="inlineStr">
        <is>
          <t>Resistor 0805 470R</t>
        </is>
      </c>
      <c r="D14" s="3" t="inlineStr">
        <is>
          <t>LCSC C17710</t>
        </is>
      </c>
      <c r="E14" s="3" t="inlineStr">
        <is>
          <t>R5</t>
        </is>
      </c>
      <c r="F14" s="3" t="n">
        <v>1</v>
      </c>
      <c r="G14" s="3">
        <f>CEILING(F14*80,1)</f>
        <v/>
      </c>
      <c r="H14" s="3" t="inlineStr">
        <is>
          <t>LCSC</t>
        </is>
      </c>
      <c r="I14" s="4" t="inlineStr">
        <is>
          <t>https://www.lcsc.com/product-detail/C17710.html</t>
        </is>
      </c>
      <c r="J14" s="3" t="n">
        <v>0.43</v>
      </c>
      <c r="K14" s="3">
        <f>ROUND(F14*J14,2)</f>
        <v/>
      </c>
      <c r="L14" s="3">
        <f>ROUND(F14*80*J14,0)</f>
        <v/>
      </c>
      <c r="M14" s="3" t="inlineStr">
        <is>
          <t>quoted</t>
        </is>
      </c>
      <c r="N14" s="3" t="inlineStr"/>
    </row>
    <row r="15">
      <c r="A15" s="3" t="n">
        <v>11</v>
      </c>
      <c r="B15" s="3" t="inlineStr">
        <is>
          <t>SMD (JLC assembly or LCSC)</t>
        </is>
      </c>
      <c r="C15" s="3" t="inlineStr">
        <is>
          <t>Resistor 0805 10k</t>
        </is>
      </c>
      <c r="D15" s="3" t="inlineStr">
        <is>
          <t>LCSC C17414</t>
        </is>
      </c>
      <c r="E15" s="3" t="inlineStr">
        <is>
          <t>R6, R7</t>
        </is>
      </c>
      <c r="F15" s="3" t="n">
        <v>2</v>
      </c>
      <c r="G15" s="3">
        <f>CEILING(F15*80,1)</f>
        <v/>
      </c>
      <c r="H15" s="3" t="inlineStr">
        <is>
          <t>LCSC</t>
        </is>
      </c>
      <c r="I15" s="4" t="inlineStr">
        <is>
          <t>https://www.lcsc.com/product-detail/C17414.html</t>
        </is>
      </c>
      <c r="J15" s="3" t="n">
        <v>0.3</v>
      </c>
      <c r="K15" s="3">
        <f>ROUND(F15*J15,2)</f>
        <v/>
      </c>
      <c r="L15" s="3">
        <f>ROUND(F15*80*J15,0)</f>
        <v/>
      </c>
      <c r="M15" s="3" t="inlineStr">
        <is>
          <t>quoted</t>
        </is>
      </c>
      <c r="N15" s="3" t="inlineStr"/>
    </row>
    <row r="16">
      <c r="A16" s="3" t="n">
        <v>12</v>
      </c>
      <c r="B16" s="3" t="inlineStr">
        <is>
          <t>SMD (JLC assembly or LCSC)</t>
        </is>
      </c>
      <c r="C16" s="3" t="inlineStr">
        <is>
          <t>Resistor 0805 4.7k</t>
        </is>
      </c>
      <c r="D16" s="3" t="inlineStr">
        <is>
          <t>LCSC C17673</t>
        </is>
      </c>
      <c r="E16" s="3" t="inlineStr">
        <is>
          <t>R8, R9</t>
        </is>
      </c>
      <c r="F16" s="3" t="n">
        <v>2</v>
      </c>
      <c r="G16" s="3">
        <f>CEILING(F16*80,1)</f>
        <v/>
      </c>
      <c r="H16" s="3" t="inlineStr">
        <is>
          <t>LCSC</t>
        </is>
      </c>
      <c r="I16" s="4" t="inlineStr">
        <is>
          <t>https://www.lcsc.com/product-detail/C17673.html</t>
        </is>
      </c>
      <c r="J16" s="3" t="n">
        <v>0.45</v>
      </c>
      <c r="K16" s="3">
        <f>ROUND(F16*J16,2)</f>
        <v/>
      </c>
      <c r="L16" s="3">
        <f>ROUND(F16*80*J16,0)</f>
        <v/>
      </c>
      <c r="M16" s="3" t="inlineStr">
        <is>
          <t>quoted</t>
        </is>
      </c>
      <c r="N16" s="3" t="inlineStr"/>
    </row>
    <row r="17">
      <c r="A17" s="3" t="n">
        <v>13</v>
      </c>
      <c r="B17" s="3" t="inlineStr">
        <is>
          <t>SMD (JLC assembly or LCSC)</t>
        </is>
      </c>
      <c r="C17" s="3" t="inlineStr">
        <is>
          <t>Capacitor 0805 100nF 50V</t>
        </is>
      </c>
      <c r="D17" s="3" t="inlineStr">
        <is>
          <t>LCSC C49678</t>
        </is>
      </c>
      <c r="E17" s="3" t="inlineStr">
        <is>
          <t>C2</t>
        </is>
      </c>
      <c r="F17" s="3" t="n">
        <v>1</v>
      </c>
      <c r="G17" s="3">
        <f>CEILING(F17*80,1)</f>
        <v/>
      </c>
      <c r="H17" s="3" t="inlineStr">
        <is>
          <t>LCSC</t>
        </is>
      </c>
      <c r="I17" s="4" t="inlineStr">
        <is>
          <t>https://www.lcsc.com/product-detail/C49678.html</t>
        </is>
      </c>
      <c r="J17" s="3" t="n">
        <v>1.2</v>
      </c>
      <c r="K17" s="3">
        <f>ROUND(F17*J17,2)</f>
        <v/>
      </c>
      <c r="L17" s="3">
        <f>ROUND(F17*80*J17,0)</f>
        <v/>
      </c>
      <c r="M17" s="3" t="inlineStr">
        <is>
          <t>quoted</t>
        </is>
      </c>
      <c r="N17" s="3" t="inlineStr"/>
    </row>
    <row r="18">
      <c r="A18" s="3" t="n">
        <v>14</v>
      </c>
      <c r="B18" s="3" t="inlineStr">
        <is>
          <t>SMD (JLC assembly or LCSC)</t>
        </is>
      </c>
      <c r="C18" s="3" t="inlineStr">
        <is>
          <t>Capacitor 0805 10uF 25V (on the stick)</t>
        </is>
      </c>
      <c r="D18" s="3" t="inlineStr">
        <is>
          <t>LCSC C15850</t>
        </is>
      </c>
      <c r="E18" s="3" t="inlineStr">
        <is>
          <t>C1 (stick)</t>
        </is>
      </c>
      <c r="F18" s="3" t="n">
        <v>1</v>
      </c>
      <c r="G18" s="3">
        <f>CEILING(F18*80,1)</f>
        <v/>
      </c>
      <c r="H18" s="3" t="inlineStr">
        <is>
          <t>LCSC</t>
        </is>
      </c>
      <c r="I18" s="4" t="inlineStr">
        <is>
          <t>https://www.lcsc.com/product-detail/C15850.html</t>
        </is>
      </c>
      <c r="J18" s="3" t="n">
        <v>4.5</v>
      </c>
      <c r="K18" s="3">
        <f>ROUND(F18*J18,2)</f>
        <v/>
      </c>
      <c r="L18" s="3">
        <f>ROUND(F18*80*J18,0)</f>
        <v/>
      </c>
      <c r="M18" s="3" t="inlineStr">
        <is>
          <t>quoted</t>
        </is>
      </c>
      <c r="N18" s="3" t="inlineStr"/>
    </row>
    <row r="19">
      <c r="A19" s="3" t="n">
        <v>15</v>
      </c>
      <c r="B19" s="3" t="inlineStr">
        <is>
          <t>SMD (JLC assembly or LCSC)</t>
        </is>
      </c>
      <c r="C19" s="3" t="inlineStr">
        <is>
          <t>JLC SMT assembly share (if JLC assembles)</t>
        </is>
      </c>
      <c r="D19" s="3" t="inlineStr">
        <is>
          <t>setup + stencil + 3 extended-part fees (DS1307, AHT20, ULN2003A) over 80 sets</t>
        </is>
      </c>
      <c r="E19" s="3" t="inlineStr">
        <is>
          <t>-</t>
        </is>
      </c>
      <c r="F19" s="3" t="n">
        <v>1</v>
      </c>
      <c r="G19" s="3">
        <f>CEILING(F19*80,1)</f>
        <v/>
      </c>
      <c r="H19" s="3" t="inlineStr">
        <is>
          <t>JLCPCB / WhyPCB</t>
        </is>
      </c>
      <c r="I19" s="4" t="inlineStr">
        <is>
          <t>https://jlcpcb.com/smt-assembly</t>
        </is>
      </c>
      <c r="J19" s="3" t="n">
        <v>25</v>
      </c>
      <c r="K19" s="3">
        <f>ROUND(F19*J19,2)</f>
        <v/>
      </c>
      <c r="L19" s="3">
        <f>ROUND(F19*80*J19,0)</f>
        <v/>
      </c>
      <c r="M19" s="7" t="inlineStr">
        <is>
          <t>estimate</t>
        </is>
      </c>
      <c r="N19" s="3" t="inlineStr">
        <is>
          <t>Skip if hand-assembled; the AHT20 still needs reflow or hot air</t>
        </is>
      </c>
    </row>
    <row r="20">
      <c r="A20" s="3" t="n">
        <v>16</v>
      </c>
      <c r="B20" s="3" t="inlineStr">
        <is>
          <t>Through-hole (India)</t>
        </is>
      </c>
      <c r="C20" s="3" t="inlineStr">
        <is>
          <t>ESP32-C3 Super Mini USB-C</t>
        </is>
      </c>
      <c r="D20" s="3" t="inlineStr">
        <is>
          <t>plugs into the two 1x8 sockets</t>
        </is>
      </c>
      <c r="E20" s="3" t="inlineStr">
        <is>
          <t>U1</t>
        </is>
      </c>
      <c r="F20" s="3" t="n">
        <v>1</v>
      </c>
      <c r="G20" s="3">
        <f>CEILING(F20*80,1)</f>
        <v/>
      </c>
      <c r="H20" s="3" t="inlineStr">
        <is>
          <t>Robosap</t>
        </is>
      </c>
      <c r="I20" s="4" t="inlineStr">
        <is>
          <t>https://robosap.in/product/esp32-c3-super-mini-usb-c-type-development-board/</t>
        </is>
      </c>
      <c r="J20" s="3" t="n">
        <v>238.36</v>
      </c>
      <c r="K20" s="3">
        <f>ROUND(F20*J20,2)</f>
        <v/>
      </c>
      <c r="L20" s="3">
        <f>ROUND(F20*80*J20,0)</f>
        <v/>
      </c>
      <c r="M20" s="3" t="inlineStr">
        <is>
          <t>quoted</t>
        </is>
      </c>
      <c r="N20" s="3" t="inlineStr">
        <is>
          <t>Rs 202 + GST; check the pin order against the 1:1 print</t>
        </is>
      </c>
    </row>
    <row r="21">
      <c r="A21" s="3" t="n">
        <v>17</v>
      </c>
      <c r="B21" s="3" t="inlineStr">
        <is>
          <t>Through-hole (India)</t>
        </is>
      </c>
      <c r="C21" s="3" t="inlineStr">
        <is>
          <t>Female header 1x8 2.54 mm</t>
        </is>
      </c>
      <c r="D21" s="3" t="inlineStr">
        <is>
          <t>Super Mini socket, 8.5 mm tall</t>
        </is>
      </c>
      <c r="E21" s="3" t="inlineStr">
        <is>
          <t>U1</t>
        </is>
      </c>
      <c r="F21" s="3" t="n">
        <v>2</v>
      </c>
      <c r="G21" s="3">
        <f>CEILING(F21*80,1)</f>
        <v/>
      </c>
      <c r="H21" s="3" t="inlineStr">
        <is>
          <t>Sharvi Electronics</t>
        </is>
      </c>
      <c r="I21" s="4" t="inlineStr">
        <is>
          <t>https://sharvielectronics.com/product/8x1-8pin-female-berg-strip-break-away-header-straight-2-54mm-pitch/</t>
        </is>
      </c>
      <c r="J21" s="3" t="n">
        <v>10.72</v>
      </c>
      <c r="K21" s="3">
        <f>ROUND(F21*J21,2)</f>
        <v/>
      </c>
      <c r="L21" s="3">
        <f>ROUND(F21*80*J21,0)</f>
        <v/>
      </c>
      <c r="M21" s="3" t="inlineStr">
        <is>
          <t>quoted</t>
        </is>
      </c>
      <c r="N21" s="3" t="inlineStr"/>
    </row>
    <row r="22">
      <c r="A22" s="3" t="n">
        <v>18</v>
      </c>
      <c r="B22" s="3" t="inlineStr">
        <is>
          <t>Through-hole (India)</t>
        </is>
      </c>
      <c r="C22" s="3" t="inlineStr">
        <is>
          <t>Relay Hongfa HF46F 5 V, 5 A 250 VAC</t>
        </is>
      </c>
      <c r="D22" s="3" t="inlineStr">
        <is>
          <t>SPST-NO, sealed, VDE reinforced</t>
        </is>
      </c>
      <c r="E22" s="3" t="inlineStr">
        <is>
          <t>K1</t>
        </is>
      </c>
      <c r="F22" s="3" t="n">
        <v>1</v>
      </c>
      <c r="G22" s="3">
        <f>CEILING(F22*80,1)</f>
        <v/>
      </c>
      <c r="H22" s="3" t="inlineStr">
        <is>
          <t>techiesms</t>
        </is>
      </c>
      <c r="I22" s="4" t="inlineStr">
        <is>
          <t>https://techiesms.com/product/hf46f-5v-pcb-sealed-relaypack-of-5/</t>
        </is>
      </c>
      <c r="J22" s="3" t="n">
        <v>42</v>
      </c>
      <c r="K22" s="3">
        <f>ROUND(F22*J22,2)</f>
        <v/>
      </c>
      <c r="L22" s="3">
        <f>ROUND(F22*80*J22,0)</f>
        <v/>
      </c>
      <c r="M22" s="3" t="inlineStr">
        <is>
          <t>quoted</t>
        </is>
      </c>
      <c r="N22" s="3" t="inlineStr">
        <is>
          <t>Rs 210 for a pack of 5</t>
        </is>
      </c>
    </row>
    <row r="23">
      <c r="A23" s="3" t="n">
        <v>19</v>
      </c>
      <c r="B23" s="3" t="inlineStr">
        <is>
          <t>Through-hole (India)</t>
        </is>
      </c>
      <c r="C23" s="3" t="inlineStr">
        <is>
          <t>CR2032 with 3 solder tabs, vertical</t>
        </is>
      </c>
      <c r="D23" s="3" t="inlineStr">
        <is>
          <t>2 x + legs 15.2 mm apart, 1 x - leg</t>
        </is>
      </c>
      <c r="E23" s="3" t="inlineStr">
        <is>
          <t>BT1</t>
        </is>
      </c>
      <c r="F23" s="3" t="n">
        <v>1</v>
      </c>
      <c r="G23" s="3">
        <f>CEILING(F23*80,1)</f>
        <v/>
      </c>
      <c r="H23" s="3" t="inlineStr">
        <is>
          <t>Rajiv Electronics</t>
        </is>
      </c>
      <c r="I23" s="4" t="inlineStr">
        <is>
          <t>https://rajivelectronics.com/product/cr2032-3v-lithium-battery-vertical-3-pin-pc-mount-battery</t>
        </is>
      </c>
      <c r="J23" s="3" t="n">
        <v>29.5</v>
      </c>
      <c r="K23" s="3">
        <f>ROUND(F23*J23,2)</f>
        <v/>
      </c>
      <c r="L23" s="3">
        <f>ROUND(F23*80*J23,0)</f>
        <v/>
      </c>
      <c r="M23" s="3" t="inlineStr">
        <is>
          <t>quoted</t>
        </is>
      </c>
      <c r="N23" s="3" t="inlineStr">
        <is>
          <t>Measure the - leg offset on the first lot (footprint assumes 4.0 mm)</t>
        </is>
      </c>
    </row>
    <row r="24">
      <c r="A24" s="3" t="n">
        <v>20</v>
      </c>
      <c r="B24" s="3" t="inlineStr">
        <is>
          <t>Through-hole (India)</t>
        </is>
      </c>
      <c r="C24" s="3" t="inlineStr">
        <is>
          <t>ALTERNATIVE: CR2032 holder (vertical, 3 pins, Rajiv RBH-2) + loose CR2032 cell</t>
        </is>
      </c>
      <c r="D24" s="3" t="inlineStr">
        <is>
          <t>3-pin vertical holder; pin positions to be measured against the tabbed-cell pads</t>
        </is>
      </c>
      <c r="E24" s="3" t="inlineStr">
        <is>
          <t>BT1 (alt)</t>
        </is>
      </c>
      <c r="F24" s="3" t="n">
        <v>0</v>
      </c>
      <c r="G24" s="3">
        <f>CEILING(F24*80,1)</f>
        <v/>
      </c>
      <c r="H24" s="3" t="inlineStr">
        <is>
          <t>Rajiv Electronics</t>
        </is>
      </c>
      <c r="I24" s="4" t="inlineStr">
        <is>
          <t>https://rajivelectronics.com/product/cr2032-3v-pcb-mount-vertical-battery-holder</t>
        </is>
      </c>
      <c r="J24" s="3" t="n">
        <v>11.8</v>
      </c>
      <c r="K24" s="3">
        <f>ROUND(F24*J24,2)</f>
        <v/>
      </c>
      <c r="L24" s="3">
        <f>ROUND(F24*80*J24,0)</f>
        <v/>
      </c>
      <c r="M24" s="3" t="inlineStr">
        <is>
          <t>quoted</t>
        </is>
      </c>
      <c r="N24" s="3" t="inlineStr">
        <is>
          <t>Rs 11.80 + a loose CR2032 (about Rs 20). Replaceable cell. Measure a sample: if its 3 pins match the tabbed-cell pads it drops in, otherwise we add its pads</t>
        </is>
      </c>
    </row>
    <row r="25">
      <c r="A25" s="3" t="n">
        <v>21</v>
      </c>
      <c r="B25" s="3" t="inlineStr">
        <is>
          <t>Through-hole (India)</t>
        </is>
      </c>
      <c r="C25" s="3" t="inlineStr">
        <is>
          <t>Crystal 32.768 kHz 2x6 mm, 12.5 pF</t>
        </is>
      </c>
      <c r="D25" s="3" t="inlineStr">
        <is>
          <t>cylindrical</t>
        </is>
      </c>
      <c r="E25" s="3" t="inlineStr">
        <is>
          <t>Y1</t>
        </is>
      </c>
      <c r="F25" s="3" t="n">
        <v>1</v>
      </c>
      <c r="G25" s="3">
        <f>CEILING(F25*80,1)</f>
        <v/>
      </c>
      <c r="H25" s="3" t="inlineStr">
        <is>
          <t>Magno Teknik</t>
        </is>
      </c>
      <c r="I25" s="4" t="inlineStr">
        <is>
          <t>https://store.magnoteknik.com/product/mtcr2632r768k/</t>
        </is>
      </c>
      <c r="J25" s="3" t="n">
        <v>14</v>
      </c>
      <c r="K25" s="3">
        <f>ROUND(F25*J25,2)</f>
        <v/>
      </c>
      <c r="L25" s="3">
        <f>ROUND(F25*80*J25,0)</f>
        <v/>
      </c>
      <c r="M25" s="3" t="inlineStr">
        <is>
          <t>quoted</t>
        </is>
      </c>
      <c r="N25" s="3" t="inlineStr">
        <is>
          <t>Rs 14 at 100+; local market about Rs 4-8</t>
        </is>
      </c>
    </row>
    <row r="26">
      <c r="A26" s="3" t="n">
        <v>22</v>
      </c>
      <c r="B26" s="3" t="inlineStr">
        <is>
          <t>Through-hole (India)</t>
        </is>
      </c>
      <c r="C26" s="3" t="inlineStr">
        <is>
          <t>Electrolytic 220 uF 10 V, 5 mm dia, 2.0 mm pitch</t>
        </is>
      </c>
      <c r="D26" s="3" t="inlineStr">
        <is>
          <t>radial 5 x 11</t>
        </is>
      </c>
      <c r="E26" s="3" t="inlineStr">
        <is>
          <t>C1</t>
        </is>
      </c>
      <c r="F26" s="3" t="n">
        <v>1</v>
      </c>
      <c r="G26" s="3">
        <f>CEILING(F26*80,1)</f>
        <v/>
      </c>
      <c r="H26" s="3" t="inlineStr">
        <is>
          <t>Local market</t>
        </is>
      </c>
      <c r="I26" s="3" t="inlineStr"/>
      <c r="J26" s="3" t="n">
        <v>2</v>
      </c>
      <c r="K26" s="3">
        <f>ROUND(F26*J26,2)</f>
        <v/>
      </c>
      <c r="L26" s="3">
        <f>ROUND(F26*80*J26,0)</f>
        <v/>
      </c>
      <c r="M26" s="7" t="inlineStr">
        <is>
          <t>estimate</t>
        </is>
      </c>
      <c r="N26" s="3" t="inlineStr"/>
    </row>
    <row r="27">
      <c r="A27" s="3" t="n">
        <v>23</v>
      </c>
      <c r="B27" s="3" t="inlineStr">
        <is>
          <t>Through-hole (India)</t>
        </is>
      </c>
      <c r="C27" s="3" t="inlineStr">
        <is>
          <t>Screw terminal 3.5 mm 2P (PUMP)</t>
        </is>
      </c>
      <c r="D27" s="3" t="inlineStr">
        <is>
          <t>KF350-2P / DG350 (Phoenix PT-1,5 footprint), horizontal</t>
        </is>
      </c>
      <c r="E27" s="3" t="inlineStr">
        <is>
          <t>J1</t>
        </is>
      </c>
      <c r="F27" s="3" t="n">
        <v>1</v>
      </c>
      <c r="G27" s="3">
        <f>CEILING(F27*80,1)</f>
        <v/>
      </c>
      <c r="H27" s="3" t="inlineStr">
        <is>
          <t>Local market (Lamington Rd / SP Road)</t>
        </is>
      </c>
      <c r="I27" s="3" t="inlineStr"/>
      <c r="J27" s="3" t="n">
        <v>4</v>
      </c>
      <c r="K27" s="3">
        <f>ROUND(F27*J27,2)</f>
        <v/>
      </c>
      <c r="L27" s="3">
        <f>ROUND(F27*80*J27,0)</f>
        <v/>
      </c>
      <c r="M27" s="7" t="inlineStr">
        <is>
          <t>estimate</t>
        </is>
      </c>
      <c r="N27" s="3" t="inlineStr">
        <is>
          <t>3.5 mm pitch blocks interlock: buy 2P and 3P and join them</t>
        </is>
      </c>
    </row>
    <row r="28">
      <c r="A28" s="3" t="n">
        <v>24</v>
      </c>
      <c r="B28" s="3" t="inlineStr">
        <is>
          <t>Through-hole (India)</t>
        </is>
      </c>
      <c r="C28" s="3" t="inlineStr">
        <is>
          <t>Screw terminal 3.5 mm 4P (I2C)</t>
        </is>
      </c>
      <c r="D28" s="3" t="inlineStr">
        <is>
          <t>KF350 2P + 2P joined</t>
        </is>
      </c>
      <c r="E28" s="3" t="inlineStr">
        <is>
          <t>J5</t>
        </is>
      </c>
      <c r="F28" s="3" t="n">
        <v>1</v>
      </c>
      <c r="G28" s="3">
        <f>CEILING(F28*80,1)</f>
        <v/>
      </c>
      <c r="H28" s="3" t="inlineStr">
        <is>
          <t>Local market</t>
        </is>
      </c>
      <c r="I28" s="3" t="inlineStr"/>
      <c r="J28" s="3" t="n">
        <v>8</v>
      </c>
      <c r="K28" s="3">
        <f>ROUND(F28*J28,2)</f>
        <v/>
      </c>
      <c r="L28" s="3">
        <f>ROUND(F28*80*J28,0)</f>
        <v/>
      </c>
      <c r="M28" s="7" t="inlineStr">
        <is>
          <t>estimate</t>
        </is>
      </c>
      <c r="N28" s="3" t="inlineStr">
        <is>
          <t>Wire entry faces the board edge</t>
        </is>
      </c>
    </row>
    <row r="29">
      <c r="A29" s="3" t="n">
        <v>25</v>
      </c>
      <c r="B29" s="3" t="inlineStr">
        <is>
          <t>Through-hole (India)</t>
        </is>
      </c>
      <c r="C29" s="3" t="inlineStr">
        <is>
          <t>Screw terminal 3.5 mm 5P (AUX)</t>
        </is>
      </c>
      <c r="D29" s="3" t="inlineStr">
        <is>
          <t>KF350 2P + 3P joined</t>
        </is>
      </c>
      <c r="E29" s="3" t="inlineStr">
        <is>
          <t>J3</t>
        </is>
      </c>
      <c r="F29" s="3" t="n">
        <v>1</v>
      </c>
      <c r="G29" s="3">
        <f>CEILING(F29*80,1)</f>
        <v/>
      </c>
      <c r="H29" s="3" t="inlineStr">
        <is>
          <t>Local market</t>
        </is>
      </c>
      <c r="I29" s="3" t="inlineStr"/>
      <c r="J29" s="3" t="n">
        <v>10</v>
      </c>
      <c r="K29" s="3">
        <f>ROUND(F29*J29,2)</f>
        <v/>
      </c>
      <c r="L29" s="3">
        <f>ROUND(F29*80*J29,0)</f>
        <v/>
      </c>
      <c r="M29" s="7" t="inlineStr">
        <is>
          <t>estimate</t>
        </is>
      </c>
      <c r="N29" s="3" t="inlineStr"/>
    </row>
    <row r="30">
      <c r="A30" s="3" t="n">
        <v>26</v>
      </c>
      <c r="B30" s="3" t="inlineStr">
        <is>
          <t>Through-hole (India)</t>
        </is>
      </c>
      <c r="C30" s="3" t="inlineStr">
        <is>
          <t>Screw terminal 3.5 mm 3P (FLOW, field builds)</t>
        </is>
      </c>
      <c r="D30" s="3" t="inlineStr">
        <is>
          <t>KF350-3P; fits the same holes as the JST-XH</t>
        </is>
      </c>
      <c r="E30" s="3" t="inlineStr">
        <is>
          <t>J4 (alt)</t>
        </is>
      </c>
      <c r="F30" s="3" t="n">
        <v>0</v>
      </c>
      <c r="G30" s="3">
        <f>CEILING(F30*80,1)</f>
        <v/>
      </c>
      <c r="H30" s="3" t="inlineStr">
        <is>
          <t>Local market</t>
        </is>
      </c>
      <c r="I30" s="3" t="inlineStr"/>
      <c r="J30" s="3" t="n">
        <v>6</v>
      </c>
      <c r="K30" s="3">
        <f>ROUND(F30*J30,2)</f>
        <v/>
      </c>
      <c r="L30" s="3">
        <f>ROUND(F30*80*J30,0)</f>
        <v/>
      </c>
      <c r="M30" s="7" t="inlineStr">
        <is>
          <t>estimate</t>
        </is>
      </c>
      <c r="N30" s="3" t="inlineStr">
        <is>
          <t>FG1 / long cable: fit this instead of the JST-XH header</t>
        </is>
      </c>
    </row>
    <row r="31">
      <c r="A31" s="3" t="n">
        <v>27</v>
      </c>
      <c r="B31" s="3" t="inlineStr">
        <is>
          <t>Through-hole (India)</t>
        </is>
      </c>
      <c r="C31" s="3" t="inlineStr">
        <is>
          <t>Pluggable header 5.08 mm 2P, vertical, + plug (RELAY 230 V)</t>
        </is>
      </c>
      <c r="D31" s="3" t="inlineStr">
        <is>
          <t>MSTBVA 2,5/2-G-5,08 type (2EDG-V 5.08) with 2EDGK plug</t>
        </is>
      </c>
      <c r="E31" s="3" t="inlineStr">
        <is>
          <t>J6</t>
        </is>
      </c>
      <c r="F31" s="3" t="n">
        <v>1</v>
      </c>
      <c r="G31" s="3">
        <f>CEILING(F31*80,1)</f>
        <v/>
      </c>
      <c r="H31" s="3" t="inlineStr">
        <is>
          <t>Local market</t>
        </is>
      </c>
      <c r="I31" s="4" t="inlineStr">
        <is>
          <t>https://www.electronicscomp.com/kf301-2-pin-5.08mm-pitch-plug-in-screw-terminal-block-connector</t>
        </is>
      </c>
      <c r="J31" s="3" t="n">
        <v>15</v>
      </c>
      <c r="K31" s="3">
        <f>ROUND(F31*J31,2)</f>
        <v/>
      </c>
      <c r="L31" s="3">
        <f>ROUND(F31*80*J31,0)</f>
        <v/>
      </c>
      <c r="M31" s="7" t="inlineStr">
        <is>
          <t>estimate</t>
        </is>
      </c>
      <c r="N31" s="3" t="inlineStr">
        <is>
          <t>Same pluggable family as FG1's relay connector; buy header and plug as a pair (link: similar plug-in block)</t>
        </is>
      </c>
    </row>
    <row r="32">
      <c r="A32" s="3" t="n">
        <v>28</v>
      </c>
      <c r="B32" s="3" t="inlineStr">
        <is>
          <t>Through-hole (India)</t>
        </is>
      </c>
      <c r="C32" s="3" t="inlineStr">
        <is>
          <t>JST-XH 3-pin male header, straight 2.5 mm (FLOW, student builds)</t>
        </is>
      </c>
      <c r="D32" s="3" t="inlineStr">
        <is>
          <t>B3B-XH-A type; shares the footprint with the 3.5 mm terminal</t>
        </is>
      </c>
      <c r="E32" s="3" t="inlineStr">
        <is>
          <t>J4</t>
        </is>
      </c>
      <c r="F32" s="3" t="n">
        <v>1</v>
      </c>
      <c r="G32" s="3">
        <f>CEILING(F32*80,1)</f>
        <v/>
      </c>
      <c r="H32" s="3" t="inlineStr">
        <is>
          <t>DNA Technology</t>
        </is>
      </c>
      <c r="I32" s="4" t="inlineStr">
        <is>
          <t>https://www.dnatechindia.com/3-pin-2-50mm-jst-xh-straight-male-connector-buy-in-india.html</t>
        </is>
      </c>
      <c r="J32" s="3" t="n">
        <v>4.56</v>
      </c>
      <c r="K32" s="3">
        <f>ROUND(F32*J32,2)</f>
        <v/>
      </c>
      <c r="L32" s="3">
        <f>ROUND(F32*80*J32,0)</f>
        <v/>
      </c>
      <c r="M32" s="3" t="inlineStr">
        <is>
          <t>quoted</t>
        </is>
      </c>
      <c r="N32" s="3" t="inlineStr">
        <is>
          <t>Mates with the YF-S401 plug</t>
        </is>
      </c>
    </row>
    <row r="33">
      <c r="A33" s="3" t="n">
        <v>29</v>
      </c>
      <c r="B33" s="3" t="inlineStr">
        <is>
          <t>Through-hole (India)</t>
        </is>
      </c>
      <c r="C33" s="3" t="inlineStr">
        <is>
          <t>Pin header 1x4 2.54 mm (AHT20 stick cable end, optional)</t>
        </is>
      </c>
      <c r="D33" s="3" t="inlineStr">
        <is>
          <t>or solder the cable directly</t>
        </is>
      </c>
      <c r="E33" s="3" t="inlineStr">
        <is>
          <t>J1 (stick)</t>
        </is>
      </c>
      <c r="F33" s="3" t="n">
        <v>0</v>
      </c>
      <c r="G33" s="3">
        <f>CEILING(F33*80,1)</f>
        <v/>
      </c>
      <c r="H33" s="3" t="inlineStr">
        <is>
          <t>Local market</t>
        </is>
      </c>
      <c r="I33" s="3" t="inlineStr"/>
      <c r="J33" s="3" t="n">
        <v>1</v>
      </c>
      <c r="K33" s="3">
        <f>ROUND(F33*J33,2)</f>
        <v/>
      </c>
      <c r="L33" s="3">
        <f>ROUND(F33*80*J33,0)</f>
        <v/>
      </c>
      <c r="M33" s="7" t="inlineStr">
        <is>
          <t>estimate</t>
        </is>
      </c>
      <c r="N33" s="3" t="inlineStr">
        <is>
          <t>Not needed if the cable is soldered</t>
        </is>
      </c>
    </row>
    <row r="34">
      <c r="A34" s="3" t="n">
        <v>30</v>
      </c>
      <c r="B34" s="3" t="inlineStr">
        <is>
          <t>Kit items</t>
        </is>
      </c>
      <c r="C34" s="3" t="inlineStr">
        <is>
          <t>Flow sensor YF-S401 0.3-6 L/min</t>
        </is>
      </c>
      <c r="D34" s="3" t="inlineStr">
        <is>
          <t>5880 pulses per litre, JST-XH lead</t>
        </is>
      </c>
      <c r="E34" s="3" t="inlineStr">
        <is>
          <t>-</t>
        </is>
      </c>
      <c r="F34" s="3" t="n">
        <v>1</v>
      </c>
      <c r="G34" s="3">
        <f>CEILING(F34*80,1)</f>
        <v/>
      </c>
      <c r="H34" s="3" t="inlineStr">
        <is>
          <t>AM Electronics</t>
        </is>
      </c>
      <c r="I34" s="4" t="inlineStr">
        <is>
          <t>https://amelectronics.in/product/water-flow-sensor-yf-s401-flowmeter-0-3-6l-min-3-5mm-white/</t>
        </is>
      </c>
      <c r="J34" s="3" t="n">
        <v>230</v>
      </c>
      <c r="K34" s="3">
        <f>ROUND(F34*J34,2)</f>
        <v/>
      </c>
      <c r="L34" s="3">
        <f>ROUND(F34*80*J34,0)</f>
        <v/>
      </c>
      <c r="M34" s="3" t="inlineStr">
        <is>
          <t>quoted</t>
        </is>
      </c>
      <c r="N34" s="3" t="inlineStr">
        <is>
          <t>Check the plug order: GND, 5V, SIG</t>
        </is>
      </c>
    </row>
    <row r="35">
      <c r="A35" s="3" t="n">
        <v>31</v>
      </c>
      <c r="B35" s="3" t="inlineStr">
        <is>
          <t>Kit items</t>
        </is>
      </c>
      <c r="C35" s="3" t="inlineStr">
        <is>
          <t>Mini submersible pump 3-9 V DC</t>
        </is>
      </c>
      <c r="D35" s="3" t="inlineStr">
        <is>
          <t>for 5 V, about 0.2-0.3 A</t>
        </is>
      </c>
      <c r="E35" s="3" t="inlineStr">
        <is>
          <t>-</t>
        </is>
      </c>
      <c r="F35" s="3" t="n">
        <v>1</v>
      </c>
      <c r="G35" s="3">
        <f>CEILING(F35*80,1)</f>
        <v/>
      </c>
      <c r="H35" s="3" t="inlineStr">
        <is>
          <t>QuartzComponents</t>
        </is>
      </c>
      <c r="I35" s="4" t="inlineStr">
        <is>
          <t>https://quartzcomponents.com/products/3v-to-12v-mini-dc-submersible-pump</t>
        </is>
      </c>
      <c r="J35" s="3" t="n">
        <v>33</v>
      </c>
      <c r="K35" s="3">
        <f>ROUND(F35*J35,2)</f>
        <v/>
      </c>
      <c r="L35" s="3">
        <f>ROUND(F35*80*J35,0)</f>
        <v/>
      </c>
      <c r="M35" s="3" t="inlineStr">
        <is>
          <t>quoted</t>
        </is>
      </c>
      <c r="N35" s="3" t="inlineStr">
        <is>
          <t>Out of stock on 2026-10-10; U-nozzle version Rs 61: quartzcomponents.com/collections/dc-motors/products/3v-to-9v-mini-dc-submersible-pump-u-type-nozzel</t>
        </is>
      </c>
    </row>
    <row r="36">
      <c r="A36" s="3" t="n">
        <v>32</v>
      </c>
      <c r="B36" s="3" t="inlineStr">
        <is>
          <t>Kit items</t>
        </is>
      </c>
      <c r="C36" s="3" t="inlineStr">
        <is>
          <t>Enclosure REI IP-65-26 (TR top) 90x58x44</t>
        </is>
      </c>
      <c r="D36" s="3" t="inlineStr">
        <is>
          <t>clear lid</t>
        </is>
      </c>
      <c r="E36" s="3" t="inlineStr">
        <is>
          <t>-</t>
        </is>
      </c>
      <c r="F36" s="3" t="n">
        <v>1</v>
      </c>
      <c r="G36" s="3">
        <f>CEILING(F36*80,1)</f>
        <v/>
      </c>
      <c r="H36" s="3" t="inlineStr">
        <is>
          <t>REI Cabinets</t>
        </is>
      </c>
      <c r="I36" s="4" t="inlineStr">
        <is>
          <t>https://www.reicabinets.com/product?cid=16&amp;pid=479&amp;prodn=IP-65-26%20(TR%20Top)</t>
        </is>
      </c>
      <c r="J36" s="3" t="n">
        <v>95</v>
      </c>
      <c r="K36" s="3">
        <f>ROUND(F36*J36,2)</f>
        <v/>
      </c>
      <c r="L36" s="3">
        <f>ROUND(F36*80*J36,0)</f>
        <v/>
      </c>
      <c r="M36" s="3" t="inlineStr">
        <is>
          <t>quoted</t>
        </is>
      </c>
      <c r="N36" s="3" t="inlineStr"/>
    </row>
    <row r="37">
      <c r="A37" s="3" t="n">
        <v>33</v>
      </c>
      <c r="B37" s="3" t="inlineStr">
        <is>
          <t>Kit items</t>
        </is>
      </c>
      <c r="C37" s="3" t="inlineStr">
        <is>
          <t>Nylon reverse-mount snap standoff 5 mm</t>
        </is>
      </c>
      <c r="D37" s="3" t="inlineStr">
        <is>
          <t>base taped to the box floor, head through the 4.2 mm PCB hole</t>
        </is>
      </c>
      <c r="E37" s="3" t="inlineStr">
        <is>
          <t>H1-H3</t>
        </is>
      </c>
      <c r="F37" s="3" t="n">
        <v>3</v>
      </c>
      <c r="G37" s="3">
        <f>CEILING(F37*80,1)</f>
        <v/>
      </c>
      <c r="H37" s="3" t="inlineStr">
        <is>
          <t>Probots</t>
        </is>
      </c>
      <c r="I37" s="4" t="inlineStr">
        <is>
          <t>https://probots.co.in/5mm-nylon-reverse-mount-pcb-standoff-spacer.html</t>
        </is>
      </c>
      <c r="J37" s="3" t="n">
        <v>9.4</v>
      </c>
      <c r="K37" s="3">
        <f>ROUND(F37*J37,2)</f>
        <v/>
      </c>
      <c r="L37" s="3">
        <f>ROUND(F37*80*J37,0)</f>
        <v/>
      </c>
      <c r="M37" s="3" t="inlineStr">
        <is>
          <t>quoted</t>
        </is>
      </c>
      <c r="N37" s="3" t="inlineStr">
        <is>
          <t>Rs 9.40 at 50+, Rs 8.50 at 100+</t>
        </is>
      </c>
    </row>
    <row r="38">
      <c r="A38" s="3" t="n">
        <v>34</v>
      </c>
      <c r="B38" s="3" t="inlineStr">
        <is>
          <t>Kit items</t>
        </is>
      </c>
      <c r="C38" s="3" t="inlineStr">
        <is>
          <t>Double-sided foam tape (3M VHB type) squares</t>
        </is>
      </c>
      <c r="D38" s="3" t="inlineStr">
        <is>
          <t>about 10 x 10 mm, one per standoff</t>
        </is>
      </c>
      <c r="E38" s="3" t="inlineStr">
        <is>
          <t>-</t>
        </is>
      </c>
      <c r="F38" s="3" t="n">
        <v>3</v>
      </c>
      <c r="G38" s="3">
        <f>CEILING(F38*80,1)</f>
        <v/>
      </c>
      <c r="H38" s="3" t="inlineStr">
        <is>
          <t>Local market</t>
        </is>
      </c>
      <c r="I38" s="3" t="inlineStr"/>
      <c r="J38" s="3" t="n">
        <v>1</v>
      </c>
      <c r="K38" s="3">
        <f>ROUND(F38*J38,2)</f>
        <v/>
      </c>
      <c r="L38" s="3">
        <f>ROUND(F38*80*J38,0)</f>
        <v/>
      </c>
      <c r="M38" s="7" t="inlineStr">
        <is>
          <t>estimate</t>
        </is>
      </c>
      <c r="N38" s="3" t="inlineStr"/>
    </row>
    <row r="39">
      <c r="A39" s="3" t="n">
        <v>35</v>
      </c>
      <c r="B39" s="3" t="inlineStr">
        <is>
          <t>Kit items</t>
        </is>
      </c>
      <c r="C39" s="3" t="inlineStr">
        <is>
          <t>Cable gland PG7 nylon (3-6 mm cable)</t>
        </is>
      </c>
      <c r="D39" s="3" t="inlineStr">
        <is>
          <t>USB, sensors, pump</t>
        </is>
      </c>
      <c r="E39" s="3" t="inlineStr">
        <is>
          <t>-</t>
        </is>
      </c>
      <c r="F39" s="3" t="n">
        <v>3</v>
      </c>
      <c r="G39" s="3">
        <f>CEILING(F39*80,1)</f>
        <v/>
      </c>
      <c r="H39" s="3" t="inlineStr">
        <is>
          <t>ElectroHeight</t>
        </is>
      </c>
      <c r="I39" s="4" t="inlineStr">
        <is>
          <t>https://electroheight.com/PG7-cable-gland</t>
        </is>
      </c>
      <c r="J39" s="3" t="n">
        <v>2.05</v>
      </c>
      <c r="K39" s="3">
        <f>ROUND(F39*J39,2)</f>
        <v/>
      </c>
      <c r="L39" s="3">
        <f>ROUND(F39*80*J39,0)</f>
        <v/>
      </c>
      <c r="M39" s="3" t="inlineStr">
        <is>
          <t>quoted</t>
        </is>
      </c>
      <c r="N39" s="3" t="inlineStr">
        <is>
          <t>Rs 205 per 100; single pieces about Rs 12 (dnatechindia.com/pg7-cable-gland-buy-in-india.html)</t>
        </is>
      </c>
    </row>
    <row r="40">
      <c r="A40" s="3" t="n">
        <v>36</v>
      </c>
      <c r="B40" s="3" t="inlineStr">
        <is>
          <t>Kit items</t>
        </is>
      </c>
      <c r="C40" s="3" t="inlineStr">
        <is>
          <t>4-core cable 1 m (AHT20 stick)</t>
        </is>
      </c>
      <c r="D40" s="3" t="inlineStr">
        <is>
          <t>e.g. 4 x 0.25 sq mm</t>
        </is>
      </c>
      <c r="E40" s="3" t="inlineStr">
        <is>
          <t>-</t>
        </is>
      </c>
      <c r="F40" s="3" t="n">
        <v>1</v>
      </c>
      <c r="G40" s="3">
        <f>CEILING(F40*80,1)</f>
        <v/>
      </c>
      <c r="H40" s="3" t="inlineStr">
        <is>
          <t>Local market</t>
        </is>
      </c>
      <c r="I40" s="3" t="inlineStr"/>
      <c r="J40" s="3" t="n">
        <v>15</v>
      </c>
      <c r="K40" s="3">
        <f>ROUND(F40*J40,2)</f>
        <v/>
      </c>
      <c r="L40" s="3">
        <f>ROUND(F40*80*J40,0)</f>
        <v/>
      </c>
      <c r="M40" s="7" t="inlineStr">
        <is>
          <t>estimate</t>
        </is>
      </c>
      <c r="N40" s="3" t="inlineStr"/>
    </row>
    <row r="41">
      <c r="A41" s="3" t="n">
        <v>37</v>
      </c>
      <c r="B41" s="3" t="inlineStr">
        <is>
          <t>Kit items</t>
        </is>
      </c>
      <c r="C41" s="3" t="inlineStr">
        <is>
          <t>Silicone tube 1 m for the pump</t>
        </is>
      </c>
      <c r="D41" s="3" t="inlineStr">
        <is>
          <t>match the pump outlet (about 7.5 mm OD)</t>
        </is>
      </c>
      <c r="E41" s="3" t="inlineStr">
        <is>
          <t>-</t>
        </is>
      </c>
      <c r="F41" s="3" t="n">
        <v>1</v>
      </c>
      <c r="G41" s="3">
        <f>CEILING(F41*80,1)</f>
        <v/>
      </c>
      <c r="H41" s="3" t="inlineStr">
        <is>
          <t>Local market</t>
        </is>
      </c>
      <c r="I41" s="3" t="inlineStr"/>
      <c r="J41" s="3" t="n">
        <v>30</v>
      </c>
      <c r="K41" s="3">
        <f>ROUND(F41*J41,2)</f>
        <v/>
      </c>
      <c r="L41" s="3">
        <f>ROUND(F41*80*J41,0)</f>
        <v/>
      </c>
      <c r="M41" s="7" t="inlineStr">
        <is>
          <t>estimate</t>
        </is>
      </c>
      <c r="N41" s="3" t="inlineStr"/>
    </row>
    <row r="42">
      <c r="C42" s="8" t="n"/>
      <c r="K42" s="8" t="n"/>
      <c r="L42" s="8" t="n"/>
    </row>
    <row r="43">
      <c r="A43" t="inlineStr"/>
      <c r="B43" t="inlineStr"/>
      <c r="C43" t="inlineStr">
        <is>
          <t>Subtotal PCB + board parts</t>
        </is>
      </c>
      <c r="D43" t="inlineStr"/>
      <c r="E43" t="inlineStr"/>
      <c r="F43" t="inlineStr"/>
      <c r="G43" t="inlineStr"/>
      <c r="H43" t="inlineStr"/>
      <c r="I43" t="inlineStr"/>
      <c r="J43" t="inlineStr"/>
      <c r="K43">
        <f>SUMIF(B5:B41,"PCB",K5:K41)+SUMIF(B5:B41,"SMD (JLC assembly or LCSC)",K5:K41)+SUMIF(B5:B41,"Through-hole (India)",K5:K41)</f>
        <v/>
      </c>
      <c r="L43">
        <f>SUMIF(B5:B41,"PCB",L5:L41)+SUMIF(B5:B41,"SMD (JLC assembly or LCSC)",L5:L41)+SUMIF(B5:B41,"Through-hole (India)",L5:L41)</f>
        <v/>
      </c>
    </row>
    <row r="44">
      <c r="A44" t="inlineStr"/>
      <c r="B44" t="inlineStr"/>
      <c r="C44" s="8" t="inlineStr">
        <is>
          <t>Subtotal kit items</t>
        </is>
      </c>
      <c r="D44" t="inlineStr"/>
      <c r="E44" t="inlineStr"/>
      <c r="F44" t="inlineStr"/>
      <c r="G44" t="inlineStr"/>
      <c r="H44" t="inlineStr"/>
      <c r="I44" t="inlineStr"/>
      <c r="J44" t="inlineStr"/>
      <c r="K44" s="8">
        <f>SUMIF(B5:B41,"Kit items",K5:K41)</f>
        <v/>
      </c>
      <c r="L44" s="8">
        <f>SUMIF(B5:B41,"Kit items",L5:L41)</f>
        <v/>
      </c>
    </row>
    <row r="45">
      <c r="A45" t="inlineStr"/>
      <c r="B45" t="inlineStr"/>
      <c r="C45" s="9" t="inlineStr">
        <is>
          <t>TOTAL per kit / per batch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s="9">
        <f>SUM(K5:K41)</f>
        <v/>
      </c>
      <c r="L45" s="9">
        <f>SUM(L5:L41)</f>
        <v/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31" r:id="rId22"/>
    <hyperlink xmlns:r="http://schemas.openxmlformats.org/officeDocument/2006/relationships" ref="I32" r:id="rId23"/>
    <hyperlink xmlns:r="http://schemas.openxmlformats.org/officeDocument/2006/relationships" ref="I34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2026-10-13T13:49:21Z</dcterms:created>
  <dcterms:modified xmlns:dcterms="http://purl.org/dc/terms/" xmlns:xsi="http://www.w3.org/2001/XMLSchema-instance" xsi:type="dcterms:W3CDTF">2026-10-13T13:49:21Z</dcterms:modified>
</cp:coreProperties>
</file>