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G1 Pricing" sheetId="1" r:id="rId5"/>
    <sheet name="WPC Pricing" sheetId="2" r:id="rId6"/>
    <sheet name="Smart Irrigation - Mini" sheetId="3" r:id="rId7"/>
    <sheet name="Smart Irrigation - Pro" sheetId="4" r:id="rId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<sst xmlns="http://schemas.openxmlformats.org/spreadsheetml/2006/main" uniqueCount="25">
  <si>
    <t>Product</t>
  </si>
  <si>
    <t>MOQ(per Lot)</t>
  </si>
  <si>
    <t>Lot range</t>
  </si>
  <si>
    <t>No of Lots</t>
  </si>
  <si>
    <t>Quantity</t>
  </si>
  <si>
    <t>base price</t>
  </si>
  <si>
    <t>Dev cost</t>
  </si>
  <si>
    <t>Unit price</t>
  </si>
  <si>
    <t>Price each Lot</t>
  </si>
  <si>
    <t>Dev. Charge</t>
  </si>
  <si>
    <t>Total Dev Charges</t>
  </si>
  <si>
    <t>FG1</t>
  </si>
  <si>
    <t>2-10</t>
  </si>
  <si>
    <t>11--27</t>
  </si>
  <si>
    <t>28-100</t>
  </si>
  <si>
    <t>WPC-Master</t>
  </si>
  <si>
    <t>2-51</t>
  </si>
  <si>
    <t>52-151</t>
  </si>
  <si>
    <t>152-551</t>
  </si>
  <si>
    <t>WPC-Pump Node</t>
  </si>
  <si>
    <t>WM1-Mini</t>
  </si>
  <si>
    <t>51-151</t>
  </si>
  <si>
    <t>WM1-Pro</t>
  </si>
  <si>
    <t>22-51</t>
  </si>
  <si>
    <t>Valve Node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</si>
</sst>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-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2" applyNumberFormat="1" applyFont="1" applyFill="1" applyBorder="1" applyAlignment="1" applyProtection="0">
      <alignment horizontal="center" vertical="center"/>
    </xf>
    <xf numFmtId="3" fontId="3" fillId="3" borderId="3" applyNumberFormat="1" applyFont="1" applyFill="1" applyBorder="1" applyAlignment="1" applyProtection="0">
      <alignment horizontal="center" vertical="center"/>
    </xf>
    <xf numFmtId="3" fontId="3" fillId="4" borderId="3" applyNumberFormat="1" applyFont="1" applyFill="1" applyBorder="1" applyAlignment="1" applyProtection="0">
      <alignment horizontal="center" vertical="center"/>
    </xf>
    <xf numFmtId="3" fontId="3" fillId="4" borderId="4" applyNumberFormat="1" applyFont="1" applyFill="1" applyBorder="1" applyAlignment="1" applyProtection="0">
      <alignment horizontal="center" vertical="center"/>
    </xf>
    <xf numFmtId="0" fontId="3" fillId="3" borderId="5" applyNumberFormat="0" applyFont="1" applyFill="1" applyBorder="1" applyAlignment="1" applyProtection="0">
      <alignment horizontal="center" vertical="center"/>
    </xf>
    <xf numFmtId="0" fontId="3" fillId="3" borderId="6" applyNumberFormat="0" applyFont="1" applyFill="1" applyBorder="1" applyAlignment="1" applyProtection="0">
      <alignment horizontal="center" vertical="center"/>
    </xf>
    <xf numFmtId="49" fontId="3" fillId="3" borderId="6" applyNumberFormat="1" applyFont="1" applyFill="1" applyBorder="1" applyAlignment="1" applyProtection="0">
      <alignment horizontal="center" vertical="center"/>
    </xf>
    <xf numFmtId="3" fontId="3" fillId="4" borderId="6" applyNumberFormat="1" applyFont="1" applyFill="1" applyBorder="1" applyAlignment="1" applyProtection="0">
      <alignment horizontal="center" vertical="center"/>
    </xf>
    <xf numFmtId="3" fontId="3" fillId="3" borderId="6" applyNumberFormat="1" applyFont="1" applyFill="1" applyBorder="1" applyAlignment="1" applyProtection="0">
      <alignment horizontal="center" vertical="center"/>
    </xf>
    <xf numFmtId="0" fontId="3" fillId="4" borderId="7" applyNumberFormat="0" applyFont="1" applyFill="1" applyBorder="1" applyAlignment="1" applyProtection="0">
      <alignment horizontal="center" vertical="center"/>
    </xf>
    <xf numFmtId="0" fontId="3" fillId="3" borderId="8" applyNumberFormat="0" applyFont="1" applyFill="1" applyBorder="1" applyAlignment="1" applyProtection="0">
      <alignment horizontal="center" vertical="center"/>
    </xf>
    <xf numFmtId="0" fontId="3" fillId="3" borderId="9" applyNumberFormat="0" applyFont="1" applyFill="1" applyBorder="1" applyAlignment="1" applyProtection="0">
      <alignment horizontal="center" vertical="center"/>
    </xf>
    <xf numFmtId="49" fontId="3" fillId="3" borderId="9" applyNumberFormat="1" applyFont="1" applyFill="1" applyBorder="1" applyAlignment="1" applyProtection="0">
      <alignment horizontal="center" vertical="center"/>
    </xf>
    <xf numFmtId="3" fontId="3" fillId="4" borderId="9" applyNumberFormat="1" applyFont="1" applyFill="1" applyBorder="1" applyAlignment="1" applyProtection="0">
      <alignment horizontal="center" vertical="center"/>
    </xf>
    <xf numFmtId="3" fontId="3" fillId="3" borderId="9" applyNumberFormat="1" applyFont="1" applyFill="1" applyBorder="1" applyAlignment="1" applyProtection="0">
      <alignment horizontal="center" vertical="center"/>
    </xf>
    <xf numFmtId="0" fontId="3" fillId="4" borderId="10" applyNumberFormat="0" applyFont="1" applyFill="1" applyBorder="1" applyAlignment="1" applyProtection="0">
      <alignment horizontal="center" vertical="center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3" fillId="3" borderId="6" applyNumberFormat="1" applyFont="1" applyFill="1" applyBorder="1" applyAlignment="1" applyProtection="0">
      <alignment horizontal="center" vertical="center"/>
    </xf>
    <xf numFmtId="0" fontId="3" fillId="3" borderId="9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eaf7"/>
      <rgbColor rgb="ff808080"/>
      <rgbColor rgb="ffffff99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0"/>
  <sheetViews>
    <sheetView workbookViewId="0" showGridLines="0" defaultGridColor="1"/>
  </sheetViews>
  <sheetFormatPr defaultColWidth="8.83333" defaultRowHeight="14.5" customHeight="1" outlineLevelRow="0" outlineLevelCol="0"/>
  <cols>
    <col min="1" max="1" width="18" style="1" customWidth="1"/>
    <col min="2" max="2" width="14" style="1" customWidth="1"/>
    <col min="3" max="3" width="12" style="1" customWidth="1"/>
    <col min="4" max="5" width="11" style="1" customWidth="1"/>
    <col min="6" max="8" width="12" style="1" customWidth="1"/>
    <col min="9" max="9" width="15" style="1" customWidth="1"/>
    <col min="10" max="10" width="14" style="1" customWidth="1"/>
    <col min="11" max="11" width="18" style="1" customWidth="1"/>
    <col min="12" max="16384" width="8.85156" style="1" customWidth="1"/>
  </cols>
  <sheetData>
    <row r="1" ht="1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4.05" customHeight="1">
      <c r="A2" t="s" s="3">
        <v>11</v>
      </c>
      <c r="B2" s="4">
        <v>12</v>
      </c>
      <c r="C2" s="4">
        <v>1</v>
      </c>
      <c r="D2" s="5">
        <v>1</v>
      </c>
      <c r="E2" s="5">
        <v>12</v>
      </c>
      <c r="F2" s="5">
        <v>4000</v>
      </c>
      <c r="G2" s="5">
        <v>1500</v>
      </c>
      <c r="H2" s="4" cm="1">
        <f t="array" ref="H2">SUM(F2+G2)</f>
        <v>5500</v>
      </c>
      <c r="I2" s="4" cm="1">
        <f t="array" ref="I2">E2*H2</f>
        <v>66000</v>
      </c>
      <c r="J2" s="5" cm="1">
        <f t="array" ref="J2">G2*E2</f>
        <v>18000</v>
      </c>
      <c r="K2" s="6" cm="1">
        <f t="array" ref="K2">SUM(J2:J5)</f>
        <v>222000</v>
      </c>
    </row>
    <row r="3" ht="13.55" customHeight="1">
      <c r="A3" s="7"/>
      <c r="B3" s="8"/>
      <c r="C3" t="s" s="9">
        <v>12</v>
      </c>
      <c r="D3" s="10">
        <v>9</v>
      </c>
      <c r="E3" s="10" cm="1">
        <f t="array" ref="E3">E2*D3</f>
        <v>108</v>
      </c>
      <c r="F3" s="10">
        <v>4000</v>
      </c>
      <c r="G3" s="10">
        <v>1000</v>
      </c>
      <c r="H3" s="11" cm="1">
        <f t="array" ref="H3">SUM(F3+G3)</f>
        <v>5000</v>
      </c>
      <c r="I3" s="11" cm="1">
        <f t="array" ref="I3">E2*H3</f>
        <v>60000</v>
      </c>
      <c r="J3" s="10" cm="1">
        <f t="array" ref="J3">G3*E3</f>
        <v>108000</v>
      </c>
      <c r="K3" s="12"/>
    </row>
    <row r="4" ht="13.55" customHeight="1">
      <c r="A4" s="7"/>
      <c r="B4" s="8"/>
      <c r="C4" t="s" s="9">
        <v>13</v>
      </c>
      <c r="D4" s="10">
        <v>16</v>
      </c>
      <c r="E4" s="10">
        <v>192</v>
      </c>
      <c r="F4" s="10">
        <v>4000</v>
      </c>
      <c r="G4" s="10">
        <v>500</v>
      </c>
      <c r="H4" s="11" cm="1">
        <f t="array" ref="H4">SUM(F4+G4)</f>
        <v>4500</v>
      </c>
      <c r="I4" s="11" cm="1">
        <f t="array" ref="I4">H4*E2</f>
        <v>54000</v>
      </c>
      <c r="J4" s="10" cm="1">
        <f t="array" ref="J4">G4*E4</f>
        <v>96000</v>
      </c>
      <c r="K4" s="12"/>
    </row>
    <row r="5" ht="14.05" customHeight="1">
      <c r="A5" s="13"/>
      <c r="B5" s="14"/>
      <c r="C5" t="s" s="15">
        <v>14</v>
      </c>
      <c r="D5" s="16">
        <v>73</v>
      </c>
      <c r="E5" s="16">
        <v>876</v>
      </c>
      <c r="F5" s="16">
        <v>4000</v>
      </c>
      <c r="G5" s="16">
        <v>0</v>
      </c>
      <c r="H5" s="17" cm="1">
        <f t="array" ref="H5">SUM(F5+G5)</f>
        <v>4000</v>
      </c>
      <c r="I5" s="17" cm="1">
        <f t="array" ref="I5">H5*E2</f>
        <v>48000</v>
      </c>
      <c r="J5" s="16" cm="1">
        <f t="array" ref="J5">G5*E5</f>
        <v>0</v>
      </c>
      <c r="K5" s="18"/>
    </row>
    <row r="6" ht="14.0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ht="13.5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ht="13.5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ht="13.5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13.5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</sheetData>
  <mergeCells count="3">
    <mergeCell ref="K2:K5"/>
    <mergeCell ref="B2:B5"/>
    <mergeCell ref="A2:A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K13"/>
  <sheetViews>
    <sheetView workbookViewId="0" showGridLines="0" defaultGridColor="1"/>
  </sheetViews>
  <sheetFormatPr defaultColWidth="8.83333" defaultRowHeight="14.5" customHeight="1" outlineLevelRow="0" outlineLevelCol="0"/>
  <cols>
    <col min="1" max="1" width="18" style="21" customWidth="1"/>
    <col min="2" max="2" width="14" style="21" customWidth="1"/>
    <col min="3" max="3" width="12" style="21" customWidth="1"/>
    <col min="4" max="5" width="11" style="21" customWidth="1"/>
    <col min="6" max="8" width="12" style="21" customWidth="1"/>
    <col min="9" max="9" width="12.3516" style="21" customWidth="1"/>
    <col min="10" max="10" width="14" style="21" customWidth="1"/>
    <col min="11" max="11" width="18" style="21" customWidth="1"/>
    <col min="12" max="16384" width="8.85156" style="21" customWidth="1"/>
  </cols>
  <sheetData>
    <row r="1" ht="1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4.05" customHeight="1">
      <c r="A2" t="s" s="3">
        <v>15</v>
      </c>
      <c r="B2" s="4">
        <v>2</v>
      </c>
      <c r="C2" s="4">
        <v>1</v>
      </c>
      <c r="D2" s="5">
        <v>1</v>
      </c>
      <c r="E2" s="5">
        <v>2</v>
      </c>
      <c r="F2" s="5">
        <v>3500</v>
      </c>
      <c r="G2" s="5">
        <v>1500</v>
      </c>
      <c r="H2" s="4" cm="1">
        <f t="array" ref="H2">SUM(F2+G2)</f>
        <v>5000</v>
      </c>
      <c r="I2" s="4" cm="1">
        <f t="array" ref="I2">E2*H2</f>
        <v>10000</v>
      </c>
      <c r="J2" s="5" cm="1">
        <f t="array" ref="J2">G2*E2</f>
        <v>3000</v>
      </c>
      <c r="K2" s="6" cm="1">
        <f t="array" ref="K2">SUM(J2:J5)</f>
        <v>293000</v>
      </c>
    </row>
    <row r="3" ht="13.55" customHeight="1">
      <c r="A3" s="7"/>
      <c r="B3" s="8"/>
      <c r="C3" t="s" s="9">
        <v>16</v>
      </c>
      <c r="D3" s="10">
        <v>50</v>
      </c>
      <c r="E3" s="10">
        <v>100</v>
      </c>
      <c r="F3" s="10">
        <v>3500</v>
      </c>
      <c r="G3" s="10">
        <v>1300</v>
      </c>
      <c r="H3" s="11" cm="1">
        <f t="array" ref="H3">SUM(F3+G3)</f>
        <v>4800</v>
      </c>
      <c r="I3" s="11" cm="1">
        <f t="array" ref="I3">E2*H3</f>
        <v>9600</v>
      </c>
      <c r="J3" s="10" cm="1">
        <f t="array" ref="J3">G3*E3</f>
        <v>130000</v>
      </c>
      <c r="K3" s="12"/>
    </row>
    <row r="4" ht="13.55" customHeight="1">
      <c r="A4" s="7"/>
      <c r="B4" s="8"/>
      <c r="C4" t="s" s="9">
        <v>17</v>
      </c>
      <c r="D4" s="10">
        <v>100</v>
      </c>
      <c r="E4" s="10">
        <v>200</v>
      </c>
      <c r="F4" s="10">
        <v>3500</v>
      </c>
      <c r="G4" s="10">
        <v>800</v>
      </c>
      <c r="H4" s="11" cm="1">
        <f t="array" ref="H4">SUM(F4+G4)</f>
        <v>4300</v>
      </c>
      <c r="I4" s="11" cm="1">
        <f t="array" ref="I4">E2*H4</f>
        <v>8600</v>
      </c>
      <c r="J4" s="10" cm="1">
        <f t="array" ref="J4">G4*E4</f>
        <v>160000</v>
      </c>
      <c r="K4" s="12"/>
    </row>
    <row r="5" ht="14.05" customHeight="1">
      <c r="A5" s="13"/>
      <c r="B5" s="14"/>
      <c r="C5" t="s" s="15">
        <v>18</v>
      </c>
      <c r="D5" s="16">
        <v>400</v>
      </c>
      <c r="E5" s="16">
        <v>800</v>
      </c>
      <c r="F5" s="16">
        <v>3500</v>
      </c>
      <c r="G5" s="16">
        <v>0</v>
      </c>
      <c r="H5" s="17" cm="1">
        <f t="array" ref="H5">SUM(F5+G5)</f>
        <v>3500</v>
      </c>
      <c r="I5" s="17" cm="1">
        <f t="array" ref="I5">E2*H5</f>
        <v>7000</v>
      </c>
      <c r="J5" s="16" cm="1">
        <f t="array" ref="J5">E5*G5</f>
        <v>0</v>
      </c>
      <c r="K5" s="18"/>
    </row>
    <row r="6" ht="14.05" customHeight="1">
      <c r="A6" t="s" s="3">
        <v>19</v>
      </c>
      <c r="B6" s="4">
        <v>8</v>
      </c>
      <c r="C6" s="4">
        <v>1</v>
      </c>
      <c r="D6" s="5">
        <v>1</v>
      </c>
      <c r="E6" s="5">
        <v>8</v>
      </c>
      <c r="F6" s="5">
        <v>3000</v>
      </c>
      <c r="G6" s="5">
        <v>800</v>
      </c>
      <c r="H6" s="4" cm="1">
        <f t="array" ref="H6">SUM(F6+G6)</f>
        <v>3800</v>
      </c>
      <c r="I6" s="4" cm="1">
        <f t="array" ref="I6">E6*H6</f>
        <v>30400</v>
      </c>
      <c r="J6" s="5" cm="1">
        <f t="array" ref="J6">G6*E6</f>
        <v>6400</v>
      </c>
      <c r="K6" s="6" cm="1">
        <f t="array" ref="K6">SUM(J6:J9)</f>
        <v>446400</v>
      </c>
    </row>
    <row r="7" ht="13.55" customHeight="1">
      <c r="A7" s="7"/>
      <c r="B7" s="8"/>
      <c r="C7" t="s" s="9">
        <v>16</v>
      </c>
      <c r="D7" s="10">
        <v>50</v>
      </c>
      <c r="E7" s="10">
        <v>400</v>
      </c>
      <c r="F7" s="10">
        <v>3000</v>
      </c>
      <c r="G7" s="10">
        <v>500</v>
      </c>
      <c r="H7" s="11" cm="1">
        <f t="array" ref="H7">SUM(F7+G7)</f>
        <v>3500</v>
      </c>
      <c r="I7" s="11" cm="1">
        <f t="array" ref="I7">E6*H7</f>
        <v>28000</v>
      </c>
      <c r="J7" s="10" cm="1">
        <f t="array" ref="J7">G7*E7</f>
        <v>200000</v>
      </c>
      <c r="K7" s="12"/>
    </row>
    <row r="8" ht="13.55" customHeight="1">
      <c r="A8" s="7"/>
      <c r="B8" s="8"/>
      <c r="C8" t="s" s="9">
        <v>17</v>
      </c>
      <c r="D8" s="10">
        <v>100</v>
      </c>
      <c r="E8" s="10">
        <v>800</v>
      </c>
      <c r="F8" s="10">
        <v>3000</v>
      </c>
      <c r="G8" s="10">
        <v>300</v>
      </c>
      <c r="H8" s="11" cm="1">
        <f t="array" ref="H8">SUM(F8+G8)</f>
        <v>3300</v>
      </c>
      <c r="I8" s="11" cm="1">
        <f t="array" ref="I8">E6*H8</f>
        <v>26400</v>
      </c>
      <c r="J8" s="10" cm="1">
        <f t="array" ref="J8">G8*E8</f>
        <v>240000</v>
      </c>
      <c r="K8" s="12"/>
    </row>
    <row r="9" ht="14.05" customHeight="1">
      <c r="A9" s="13"/>
      <c r="B9" s="14"/>
      <c r="C9" t="s" s="15">
        <v>18</v>
      </c>
      <c r="D9" s="16">
        <v>400</v>
      </c>
      <c r="E9" s="16">
        <v>3200</v>
      </c>
      <c r="F9" s="16">
        <v>3000</v>
      </c>
      <c r="G9" s="16">
        <v>0</v>
      </c>
      <c r="H9" s="17" cm="1">
        <f t="array" ref="H9">SUM(F9+G9)</f>
        <v>3000</v>
      </c>
      <c r="I9" s="17" cm="1">
        <f t="array" ref="I9">E6*H9</f>
        <v>24000</v>
      </c>
      <c r="J9" s="16" cm="1">
        <f t="array" ref="J9">G9*E9</f>
        <v>0</v>
      </c>
      <c r="K9" s="18"/>
    </row>
    <row r="10" ht="14.0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ht="13.5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13.5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13.5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2">
        <v>9</v>
      </c>
    </row>
  </sheetData>
  <mergeCells count="6">
    <mergeCell ref="B2:B5"/>
    <mergeCell ref="A2:A5"/>
    <mergeCell ref="A6:A9"/>
    <mergeCell ref="B6:B9"/>
    <mergeCell ref="K6:K9"/>
    <mergeCell ref="K2:K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10"/>
  <sheetViews>
    <sheetView workbookViewId="0" showGridLines="0" defaultGridColor="1"/>
  </sheetViews>
  <sheetFormatPr defaultColWidth="8.83333" defaultRowHeight="14.5" customHeight="1" outlineLevelRow="0" outlineLevelCol="0"/>
  <cols>
    <col min="1" max="1" width="18" style="23" customWidth="1"/>
    <col min="2" max="2" width="14" style="23" customWidth="1"/>
    <col min="3" max="3" width="12" style="23" customWidth="1"/>
    <col min="4" max="5" width="11" style="23" customWidth="1"/>
    <col min="6" max="8" width="12" style="23" customWidth="1"/>
    <col min="9" max="9" width="15" style="23" customWidth="1"/>
    <col min="10" max="10" width="14" style="23" customWidth="1"/>
    <col min="11" max="11" width="18" style="23" customWidth="1"/>
    <col min="12" max="16384" width="8.85156" style="23" customWidth="1"/>
  </cols>
  <sheetData>
    <row r="1" ht="1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4.05" customHeight="1">
      <c r="A2" t="s" s="3">
        <v>20</v>
      </c>
      <c r="B2" s="4">
        <v>5</v>
      </c>
      <c r="C2" s="4">
        <v>1</v>
      </c>
      <c r="D2" s="5">
        <v>1</v>
      </c>
      <c r="E2" s="5">
        <v>5</v>
      </c>
      <c r="F2" s="5">
        <v>6500</v>
      </c>
      <c r="G2" s="5">
        <v>2000</v>
      </c>
      <c r="H2" s="4" cm="1">
        <f t="array" ref="H2">SUM(F2+G2)</f>
        <v>8500</v>
      </c>
      <c r="I2" s="4" cm="1">
        <f t="array" ref="I2">E2*H2</f>
        <v>42500</v>
      </c>
      <c r="J2" s="5" cm="1">
        <f t="array" ref="J2">G2*E2</f>
        <v>10000</v>
      </c>
      <c r="K2" s="6" cm="1">
        <f t="array" ref="K2">SUM(J2:J5)</f>
        <v>510000</v>
      </c>
    </row>
    <row r="3" ht="13.55" customHeight="1">
      <c r="A3" s="7"/>
      <c r="B3" s="8"/>
      <c r="C3" s="24">
        <v>18660</v>
      </c>
      <c r="D3" s="10">
        <v>50</v>
      </c>
      <c r="E3" s="10" cm="1">
        <f t="array" ref="E3">E2*D3</f>
        <v>250</v>
      </c>
      <c r="F3" s="10">
        <v>6500</v>
      </c>
      <c r="G3" s="10">
        <v>1000</v>
      </c>
      <c r="H3" s="11" cm="1">
        <f t="array" ref="H3">SUM(F3+G3)</f>
        <v>7500</v>
      </c>
      <c r="I3" s="11" cm="1">
        <f t="array" ref="I3">E2*H3</f>
        <v>37500</v>
      </c>
      <c r="J3" s="10" cm="1">
        <f t="array" ref="J3">G3*E3</f>
        <v>250000</v>
      </c>
      <c r="K3" s="12"/>
    </row>
    <row r="4" ht="13.55" customHeight="1">
      <c r="A4" s="7"/>
      <c r="B4" s="8"/>
      <c r="C4" t="s" s="9">
        <v>21</v>
      </c>
      <c r="D4" s="10">
        <v>100</v>
      </c>
      <c r="E4" s="10" cm="1">
        <f t="array" ref="E4">E2*D4</f>
        <v>500</v>
      </c>
      <c r="F4" s="10">
        <v>6500</v>
      </c>
      <c r="G4" s="10">
        <v>500</v>
      </c>
      <c r="H4" s="11" cm="1">
        <f t="array" ref="H4">SUM(F4+G4)</f>
        <v>7000</v>
      </c>
      <c r="I4" s="11" cm="1">
        <f t="array" ref="I4">H4*E2</f>
        <v>35000</v>
      </c>
      <c r="J4" s="10" cm="1">
        <f t="array" ref="J4">G4*E4</f>
        <v>250000</v>
      </c>
      <c r="K4" s="12"/>
    </row>
    <row r="5" ht="14.05" customHeight="1">
      <c r="A5" s="13"/>
      <c r="B5" s="14"/>
      <c r="C5" s="25">
        <v>152</v>
      </c>
      <c r="D5" s="16"/>
      <c r="E5" s="16"/>
      <c r="F5" s="16">
        <v>6500</v>
      </c>
      <c r="G5" s="16">
        <v>0</v>
      </c>
      <c r="H5" s="17" cm="1">
        <f t="array" ref="H5">SUM(F5+G5)</f>
        <v>6500</v>
      </c>
      <c r="I5" s="17" cm="1">
        <f t="array" ref="I5">H5*E2</f>
        <v>32500</v>
      </c>
      <c r="J5" s="16" cm="1">
        <f t="array" ref="J5">G5*E5</f>
        <v>0</v>
      </c>
      <c r="K5" s="18"/>
    </row>
    <row r="6" ht="14.0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ht="13.5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ht="13.5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ht="13.5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13.5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</sheetData>
  <mergeCells count="3">
    <mergeCell ref="A2:A5"/>
    <mergeCell ref="B2:B5"/>
    <mergeCell ref="K2:K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K13"/>
  <sheetViews>
    <sheetView workbookViewId="0" showGridLines="0" defaultGridColor="1"/>
  </sheetViews>
  <sheetFormatPr defaultColWidth="8.83333" defaultRowHeight="14.5" customHeight="1" outlineLevelRow="0" outlineLevelCol="0"/>
  <cols>
    <col min="1" max="1" width="18" style="26" customWidth="1"/>
    <col min="2" max="2" width="14" style="26" customWidth="1"/>
    <col min="3" max="3" width="12" style="26" customWidth="1"/>
    <col min="4" max="5" width="11" style="26" customWidth="1"/>
    <col min="6" max="8" width="12" style="26" customWidth="1"/>
    <col min="9" max="9" width="12.3516" style="26" customWidth="1"/>
    <col min="10" max="10" width="14" style="26" customWidth="1"/>
    <col min="11" max="11" width="18" style="26" customWidth="1"/>
    <col min="12" max="16384" width="8.85156" style="26" customWidth="1"/>
  </cols>
  <sheetData>
    <row r="1" ht="1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4.05" customHeight="1">
      <c r="A2" t="s" s="3">
        <v>22</v>
      </c>
      <c r="B2" s="4">
        <v>2</v>
      </c>
      <c r="C2" s="4">
        <v>1</v>
      </c>
      <c r="D2" s="5">
        <v>1</v>
      </c>
      <c r="E2" s="5">
        <v>2</v>
      </c>
      <c r="F2" s="5">
        <v>17000</v>
      </c>
      <c r="G2" s="5">
        <v>8500</v>
      </c>
      <c r="H2" s="4" cm="1">
        <f t="array" ref="H2">SUM(F2+G2)</f>
        <v>25500</v>
      </c>
      <c r="I2" s="4" cm="1">
        <f t="array" ref="I2">E2*H2</f>
        <v>51000</v>
      </c>
      <c r="J2" s="5" cm="1">
        <f t="array" ref="J2">G2*E2</f>
        <v>17000</v>
      </c>
      <c r="K2" s="6" cm="1">
        <f t="array" ref="K2">SUM(J2:J5)</f>
        <v>537000</v>
      </c>
    </row>
    <row r="3" ht="13.55" customHeight="1">
      <c r="A3" s="7"/>
      <c r="B3" s="8"/>
      <c r="C3" s="24">
        <v>44228</v>
      </c>
      <c r="D3" s="10">
        <v>20</v>
      </c>
      <c r="E3" s="10" cm="1">
        <f t="array" ref="E3">D3*E2</f>
        <v>40</v>
      </c>
      <c r="F3" s="10">
        <v>17000</v>
      </c>
      <c r="G3" s="10">
        <v>7000</v>
      </c>
      <c r="H3" s="11" cm="1">
        <f t="array" ref="H3">SUM(F3+G3)</f>
        <v>24000</v>
      </c>
      <c r="I3" s="11" cm="1">
        <f t="array" ref="I3">E2*H3</f>
        <v>48000</v>
      </c>
      <c r="J3" s="10" cm="1">
        <f t="array" ref="J3">G3*E3</f>
        <v>280000</v>
      </c>
      <c r="K3" s="12"/>
    </row>
    <row r="4" ht="13.55" customHeight="1">
      <c r="A4" s="7"/>
      <c r="B4" s="8"/>
      <c r="C4" t="s" s="9">
        <v>23</v>
      </c>
      <c r="D4" s="10">
        <v>30</v>
      </c>
      <c r="E4" s="10" cm="1">
        <f t="array" ref="E4">D4*E2</f>
        <v>60</v>
      </c>
      <c r="F4" s="10">
        <v>17000</v>
      </c>
      <c r="G4" s="10">
        <v>4000</v>
      </c>
      <c r="H4" s="11" cm="1">
        <f t="array" ref="H4">SUM(F4+G4)</f>
        <v>21000</v>
      </c>
      <c r="I4" s="11" cm="1">
        <f t="array" ref="I4">E2*H4</f>
        <v>42000</v>
      </c>
      <c r="J4" s="10" cm="1">
        <f t="array" ref="J4">G4*E4</f>
        <v>240000</v>
      </c>
      <c r="K4" s="12"/>
    </row>
    <row r="5" ht="14.05" customHeight="1">
      <c r="A5" s="13"/>
      <c r="B5" s="14"/>
      <c r="C5" s="25">
        <v>52</v>
      </c>
      <c r="D5" s="16"/>
      <c r="E5" s="16"/>
      <c r="F5" s="16">
        <v>17000</v>
      </c>
      <c r="G5" s="16">
        <v>0</v>
      </c>
      <c r="H5" s="17" cm="1">
        <f t="array" ref="H5">SUM(F5+G5)</f>
        <v>17000</v>
      </c>
      <c r="I5" s="17" cm="1">
        <f t="array" ref="I5">E2*H5</f>
        <v>34000</v>
      </c>
      <c r="J5" s="16" cm="1">
        <f t="array" ref="J5">E5*G5</f>
        <v>0</v>
      </c>
      <c r="K5" s="18"/>
    </row>
    <row r="6" ht="14.05" customHeight="1">
      <c r="A6" t="s" s="3">
        <v>24</v>
      </c>
      <c r="B6" s="4">
        <v>8</v>
      </c>
      <c r="C6" s="4">
        <v>1</v>
      </c>
      <c r="D6" s="5">
        <v>1</v>
      </c>
      <c r="E6" s="5">
        <v>8</v>
      </c>
      <c r="F6" s="5">
        <v>4500</v>
      </c>
      <c r="G6" s="5">
        <v>1000</v>
      </c>
      <c r="H6" s="4" cm="1">
        <f t="array" ref="H6">SUM(F6+G6)</f>
        <v>5500</v>
      </c>
      <c r="I6" s="4" cm="1">
        <f t="array" ref="I6">E6*H6</f>
        <v>44000</v>
      </c>
      <c r="J6" s="5" cm="1">
        <f t="array" ref="J6">G6*E6</f>
        <v>8000</v>
      </c>
      <c r="K6" s="6" cm="1">
        <f t="array" ref="K6">SUM(J6:J9)</f>
        <v>160000</v>
      </c>
    </row>
    <row r="7" ht="13.55" customHeight="1">
      <c r="A7" s="7"/>
      <c r="B7" s="8"/>
      <c r="C7" s="24">
        <v>44228</v>
      </c>
      <c r="D7" s="10">
        <v>20</v>
      </c>
      <c r="E7" s="10" cm="1">
        <f t="array" ref="E7">D7*E6</f>
        <v>160</v>
      </c>
      <c r="F7" s="10">
        <v>4500</v>
      </c>
      <c r="G7" s="10">
        <v>500</v>
      </c>
      <c r="H7" s="11" cm="1">
        <f t="array" ref="H7">SUM(F7+G7)</f>
        <v>5000</v>
      </c>
      <c r="I7" s="11" cm="1">
        <f t="array" ref="I7">E6*H7</f>
        <v>40000</v>
      </c>
      <c r="J7" s="10" cm="1">
        <f t="array" ref="J7">G7*E7</f>
        <v>80000</v>
      </c>
      <c r="K7" s="12"/>
    </row>
    <row r="8" ht="13.55" customHeight="1">
      <c r="A8" s="7"/>
      <c r="B8" s="8"/>
      <c r="C8" t="s" s="9">
        <v>23</v>
      </c>
      <c r="D8" s="10">
        <v>30</v>
      </c>
      <c r="E8" s="10" cm="1">
        <f t="array" ref="E8">D8*E6</f>
        <v>240</v>
      </c>
      <c r="F8" s="10">
        <v>4500</v>
      </c>
      <c r="G8" s="10">
        <v>300</v>
      </c>
      <c r="H8" s="11" cm="1">
        <f t="array" ref="H8">SUM(F8+G8)</f>
        <v>4800</v>
      </c>
      <c r="I8" s="11" cm="1">
        <f t="array" ref="I8">E6*H8</f>
        <v>38400</v>
      </c>
      <c r="J8" s="10" cm="1">
        <f t="array" ref="J8">G8*E8</f>
        <v>72000</v>
      </c>
      <c r="K8" s="12"/>
    </row>
    <row r="9" ht="14.05" customHeight="1">
      <c r="A9" s="13"/>
      <c r="B9" s="14"/>
      <c r="C9" s="25">
        <v>52</v>
      </c>
      <c r="D9" s="16"/>
      <c r="E9" s="16"/>
      <c r="F9" s="16">
        <v>4500</v>
      </c>
      <c r="G9" s="16">
        <v>0</v>
      </c>
      <c r="H9" s="17" cm="1">
        <f t="array" ref="H9">SUM(F9+G9)</f>
        <v>4500</v>
      </c>
      <c r="I9" s="17" cm="1">
        <f t="array" ref="I9">E6*H9</f>
        <v>36000</v>
      </c>
      <c r="J9" s="16" cm="1">
        <f t="array" ref="J9">G9*E9</f>
        <v>0</v>
      </c>
      <c r="K9" s="18"/>
    </row>
    <row r="10" ht="14.0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ht="13.5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13.5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13.5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2">
        <v>9</v>
      </c>
    </row>
  </sheetData>
  <mergeCells count="6">
    <mergeCell ref="A2:A5"/>
    <mergeCell ref="B2:B5"/>
    <mergeCell ref="K2:K5"/>
    <mergeCell ref="A6:A9"/>
    <mergeCell ref="B6:B9"/>
    <mergeCell ref="K6:K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